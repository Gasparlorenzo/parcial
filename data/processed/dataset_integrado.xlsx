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3! Cuatrimestre/03 - Aprendizaje Automático/03 - Instancia Parcial/parcial/data/processed/"/>
    </mc:Choice>
  </mc:AlternateContent>
  <xr:revisionPtr revIDLastSave="210" documentId="11_667D73A1D3D0577FF9D2DA734B5ED87656C923F5" xr6:coauthVersionLast="47" xr6:coauthVersionMax="47" xr10:uidLastSave="{15EC0A73-6772-4CCF-B6CB-BF7E6E08D33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40" i="1"/>
  <c r="G41" i="1"/>
  <c r="G42" i="1"/>
  <c r="G43" i="1"/>
  <c r="G44" i="1"/>
  <c r="G45" i="1"/>
  <c r="G46" i="1"/>
  <c r="G47" i="1"/>
  <c r="G48" i="1"/>
  <c r="G49" i="1"/>
  <c r="F39" i="1"/>
  <c r="F40" i="1"/>
  <c r="F41" i="1"/>
  <c r="F42" i="1"/>
  <c r="F43" i="1"/>
  <c r="F44" i="1"/>
  <c r="F45" i="1"/>
  <c r="F46" i="1"/>
  <c r="F47" i="1"/>
  <c r="F48" i="1"/>
  <c r="F49" i="1"/>
  <c r="G38" i="1"/>
  <c r="F38" i="1"/>
  <c r="M3" i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<sst xmlns="http://schemas.openxmlformats.org/spreadsheetml/2006/main" count="371" uniqueCount="96">
  <si>
    <t>fecha</t>
  </si>
  <si>
    <t>anio</t>
  </si>
  <si>
    <t>mes</t>
  </si>
  <si>
    <t>ush_pernoc_total</t>
  </si>
  <si>
    <t>ush_pernoc_residentes</t>
  </si>
  <si>
    <t>ush_pernoc_no_residentes</t>
  </si>
  <si>
    <t>ush_viaj_total</t>
  </si>
  <si>
    <t>ush_viaj_residentes</t>
  </si>
  <si>
    <t>ush_viaj_no_residentes</t>
  </si>
  <si>
    <t>ush_estadia_total</t>
  </si>
  <si>
    <t>ush_estadia_residentes</t>
  </si>
  <si>
    <t>ush_estadia_no_residentes</t>
  </si>
  <si>
    <t>parque_visitas_total</t>
  </si>
  <si>
    <t>parque_visitas_res</t>
  </si>
  <si>
    <t>parque_visitas_nores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</si>
  <si>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</si>
  <si>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</si>
  <si>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</si>
  <si>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</si>
  <si>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</si>
  <si>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</si>
  <si>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</si>
  <si>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</si>
  <si>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</si>
  <si>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</si>
  <si>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</si>
  <si>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</si>
  <si>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ush_hab_disponibles</t>
  </si>
  <si>
    <t>ush_hab_ocupadas</t>
  </si>
  <si>
    <t>ush_toh %</t>
  </si>
  <si>
    <t>ush_plazas_disponibles</t>
  </si>
  <si>
    <t>ush_plazas_ocupadas</t>
  </si>
  <si>
    <t>ush_top %</t>
  </si>
  <si>
    <t>Dataset Ocupacion</t>
  </si>
  <si>
    <t>2022/2023</t>
  </si>
  <si>
    <t>2023/2024</t>
  </si>
  <si>
    <t>2024/2025</t>
  </si>
  <si>
    <t>temporada</t>
  </si>
  <si>
    <t>cruceros_recaladas</t>
  </si>
  <si>
    <t>cruceros_rec_antartico</t>
  </si>
  <si>
    <t>cruceros_rec_regional</t>
  </si>
  <si>
    <t>cruceros_rec_internacional</t>
  </si>
  <si>
    <t>cruceristas_total</t>
  </si>
  <si>
    <t>cruceristas_antartico</t>
  </si>
  <si>
    <t>cruceristas_regional</t>
  </si>
  <si>
    <t>cruceristas_internacional</t>
  </si>
  <si>
    <t>Dataset Cruceros</t>
  </si>
  <si>
    <t>ush_hotel_establecimientos</t>
  </si>
  <si>
    <t>ush_hotel_habitaciones</t>
  </si>
  <si>
    <t>ush_hotel_plazas</t>
  </si>
  <si>
    <t>ush_parahotel_establecimientos</t>
  </si>
  <si>
    <t>ush_parahotel_habitaciones</t>
  </si>
  <si>
    <t>ush_parahotel_plazas</t>
  </si>
  <si>
    <t>ush_total_establecimientos</t>
  </si>
  <si>
    <t>ush_total_habitaciones</t>
  </si>
  <si>
    <t>ush_total_plazas</t>
  </si>
  <si>
    <t>Dataset Oferta Hotelera</t>
  </si>
  <si>
    <t>ush_viaj_res</t>
  </si>
  <si>
    <t>ush_viaj_nores</t>
  </si>
  <si>
    <t>ush_pernoc_res</t>
  </si>
  <si>
    <t>ush_pernoc_nores</t>
  </si>
  <si>
    <t>ush_viaj_res_caba</t>
  </si>
  <si>
    <t>ush_viaj_res_gba</t>
  </si>
  <si>
    <t>ush_viaj_res_bs_as_resto</t>
  </si>
  <si>
    <t>ush_viaj_res_cordoba</t>
  </si>
  <si>
    <t>ush_viaj_res_santa_fe</t>
  </si>
  <si>
    <t>ush_viaj_res_mendoza</t>
  </si>
  <si>
    <t>ush_viaj_res_tierra_fuego</t>
  </si>
  <si>
    <t>ush_viaj_nores_brasil</t>
  </si>
  <si>
    <t>ush_viaj_nores_chile</t>
  </si>
  <si>
    <t>ush_viaj_nores_uruguay</t>
  </si>
  <si>
    <t>ush_viaj_nores_eeuu_canada</t>
  </si>
  <si>
    <t>ush_viaj_nores_alemania</t>
  </si>
  <si>
    <t>ush_viaj_nores_espana</t>
  </si>
  <si>
    <t>ush_viaj_nores_francia</t>
  </si>
  <si>
    <t>ush_viaj_nores_italia</t>
  </si>
  <si>
    <t>ush_viaj_nores_europa_resto</t>
  </si>
  <si>
    <t>ush_viaj_nores_asia</t>
  </si>
  <si>
    <t>ush_pernoc_res_caba</t>
  </si>
  <si>
    <t>ush_pernoc_res_gba</t>
  </si>
  <si>
    <t>ush_pernoc_res_bs_as_resto</t>
  </si>
  <si>
    <t>ush_pernoc_res_cordoba</t>
  </si>
  <si>
    <t>ush_pernoc_res_santa_fe</t>
  </si>
  <si>
    <t>ush_pernoc_res_mendoza</t>
  </si>
  <si>
    <t>ush_pernoc_res_tierra_fuego</t>
  </si>
  <si>
    <t>ush_pernoc_nores_brasil</t>
  </si>
  <si>
    <t>ush_pernoc_nores_chile</t>
  </si>
  <si>
    <t>ush_pernoc_nores_uruguay</t>
  </si>
  <si>
    <t>ush_pernoc_nores_eeuu_canada</t>
  </si>
  <si>
    <t>ush_pernoc_nores_alemania</t>
  </si>
  <si>
    <t>ush_pernoc_nores_espana</t>
  </si>
  <si>
    <t>ush_pernoc_nores_francia</t>
  </si>
  <si>
    <t>ush_pernoc_nores_italia</t>
  </si>
  <si>
    <t>ush_pernoc_nores_europa_resto</t>
  </si>
  <si>
    <t>ush_pernoc_nores_asia</t>
  </si>
  <si>
    <t>Dataset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</si>
</sst>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64"/>
  <sheetViews>
    <sheetView tabSelected="1" workbookViewId="0">
      <pane ySplit="1" topLeftCell="A101" activePane="bottomLeft" state="frozen"/>
      <selection pane="bottomLeft" activeCell="E14" sqref="E14"/>
    </sheetView>
  </sheetViews>
  <sheetFormatPr baseColWidth="10" defaultColWidth="8.88671875" defaultRowHeight="14.4" x14ac:dyDescent="0.3"/>
  <cols>
    <col min="1" max="1" width="18" bestFit="1" customWidth="1"/>
    <col min="2" max="2" width="5" bestFit="1" customWidth="1"/>
    <col min="3" max="3" width="10.109375" bestFit="1" customWidth="1"/>
    <col min="4" max="4" width="10.109375" customWidth="1"/>
    <col min="5" max="5" width="15.33203125" customWidth="1"/>
    <col min="6" max="6" width="19.88671875" customWidth="1"/>
    <col min="7" max="7" width="23.109375" customWidth="1"/>
    <col min="8" max="8" width="12.44140625" customWidth="1"/>
    <col min="9" max="9" width="17" customWidth="1"/>
    <col min="10" max="10" width="20.109375" customWidth="1"/>
    <col min="11" max="11" width="15.5546875" customWidth="1"/>
    <col min="12" max="12" width="20.109375" customWidth="1"/>
    <col min="13" max="13" width="23.33203125" customWidth="1"/>
    <col min="14" max="14" width="17.6640625" customWidth="1"/>
    <col min="15" max="15" width="16.21875" customWidth="1"/>
    <col min="16" max="16" width="18.33203125" customWidth="1"/>
    <col min="17" max="17" width="17.88671875" customWidth="1"/>
    <col min="18" max="18" width="16.6640625" customWidth="1"/>
    <col min="19" max="19" width="12" customWidth="1"/>
    <col min="20" max="22" width="8.88671875" customWidth="1"/>
    <col min="23" max="23" width="10" bestFit="1" customWidth="1"/>
    <col min="24" max="30" width="8.88671875" customWidth="1"/>
    <col min="31" max="31" width="21.6640625" customWidth="1"/>
  </cols>
  <sheetData>
    <row r="1" spans="1:82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42</v>
      </c>
      <c r="AC1" s="7" t="s">
        <v>43</v>
      </c>
      <c r="AD1" s="7" t="s">
        <v>44</v>
      </c>
      <c r="AE1" s="7" t="s">
        <v>45</v>
      </c>
      <c r="AF1" s="8" t="s">
        <v>47</v>
      </c>
      <c r="AG1" s="8" t="s">
        <v>48</v>
      </c>
      <c r="AH1" s="8" t="s">
        <v>49</v>
      </c>
      <c r="AI1" s="8" t="s">
        <v>50</v>
      </c>
      <c r="AJ1" s="8" t="s">
        <v>51</v>
      </c>
      <c r="AK1" s="8" t="s">
        <v>52</v>
      </c>
      <c r="AL1" s="8" t="s">
        <v>53</v>
      </c>
      <c r="AM1" s="8" t="s">
        <v>54</v>
      </c>
      <c r="AN1" s="8" t="s">
        <v>55</v>
      </c>
      <c r="AO1" s="9" t="s">
        <v>6</v>
      </c>
      <c r="AP1" s="9" t="s">
        <v>57</v>
      </c>
      <c r="AQ1" s="9" t="s">
        <v>58</v>
      </c>
      <c r="AR1" s="9" t="s">
        <v>3</v>
      </c>
      <c r="AS1" s="9" t="s">
        <v>59</v>
      </c>
      <c r="AT1" s="9" t="s">
        <v>60</v>
      </c>
      <c r="AU1" s="9" t="s">
        <v>61</v>
      </c>
      <c r="AV1" s="9" t="s">
        <v>62</v>
      </c>
      <c r="AW1" s="9" t="s">
        <v>63</v>
      </c>
      <c r="AX1" s="9" t="s">
        <v>64</v>
      </c>
      <c r="AY1" s="9" t="s">
        <v>65</v>
      </c>
      <c r="AZ1" s="9" t="s">
        <v>66</v>
      </c>
      <c r="BA1" s="9" t="s">
        <v>67</v>
      </c>
      <c r="BB1" s="9" t="s">
        <v>68</v>
      </c>
      <c r="BC1" s="9" t="s">
        <v>69</v>
      </c>
      <c r="BD1" s="9" t="s">
        <v>70</v>
      </c>
      <c r="BE1" s="9" t="s">
        <v>71</v>
      </c>
      <c r="BF1" s="9" t="s">
        <v>72</v>
      </c>
      <c r="BG1" s="9" t="s">
        <v>73</v>
      </c>
      <c r="BH1" s="9" t="s">
        <v>74</v>
      </c>
      <c r="BI1" s="9" t="s">
        <v>75</v>
      </c>
      <c r="BJ1" s="9" t="s">
        <v>76</v>
      </c>
      <c r="BK1" s="9" t="s">
        <v>77</v>
      </c>
      <c r="BL1" s="9" t="s">
        <v>78</v>
      </c>
      <c r="BM1" s="9" t="s">
        <v>79</v>
      </c>
      <c r="BN1" s="9" t="s">
        <v>80</v>
      </c>
      <c r="BO1" s="9" t="s">
        <v>81</v>
      </c>
      <c r="BP1" s="9" t="s">
        <v>82</v>
      </c>
      <c r="BQ1" s="9" t="s">
        <v>83</v>
      </c>
      <c r="BR1" s="9" t="s">
        <v>84</v>
      </c>
      <c r="BS1" s="9" t="s">
        <v>85</v>
      </c>
      <c r="BT1" s="9" t="s">
        <v>86</v>
      </c>
      <c r="BU1" s="9" t="s">
        <v>87</v>
      </c>
      <c r="BV1" s="9" t="s">
        <v>88</v>
      </c>
      <c r="BW1" s="9" t="s">
        <v>89</v>
      </c>
      <c r="BX1" s="9" t="s">
        <v>90</v>
      </c>
      <c r="BY1" s="9" t="s">
        <v>91</v>
      </c>
      <c r="BZ1" s="9" t="s">
        <v>92</v>
      </c>
      <c r="CA1" s="9" t="s">
        <v>93</v>
      </c>
      <c r="CB1" s="9" t="s">
        <v>94</v>
      </c>
      <c r="CD1" s="6" t="s">
        <v>33</v>
      </c>
    </row>
    <row r="2" spans="1:82" x14ac:dyDescent="0.3">
      <c r="A2" s="1">
        <v>37987</v>
      </c>
      <c r="B2">
        <v>2004</v>
      </c>
      <c r="C2" t="s">
        <v>15</v>
      </c>
      <c r="D2">
        <v>1</v>
      </c>
      <c r="E2">
        <v>60709</v>
      </c>
      <c r="F2">
        <v>34104</v>
      </c>
      <c r="G2">
        <v>26605</v>
      </c>
      <c r="H2">
        <v>21967</v>
      </c>
      <c r="I2">
        <v>10821</v>
      </c>
      <c r="J2">
        <v>11146</v>
      </c>
      <c r="K2">
        <f>+E2/H2</f>
        <v>2.7636454682023035</v>
      </c>
      <c r="L2">
        <f>F2/I2</f>
        <v>3.1516495702800111</v>
      </c>
      <c r="M2">
        <f>G2/J2</f>
        <v>2.3869549614211376</v>
      </c>
      <c r="Q2">
        <v>38905</v>
      </c>
      <c r="R2">
        <v>27473</v>
      </c>
      <c r="S2">
        <v>70.615602107698237</v>
      </c>
      <c r="T2">
        <v>106020</v>
      </c>
      <c r="U2">
        <v>60709</v>
      </c>
      <c r="V2">
        <v>57.261837389171852</v>
      </c>
      <c r="CD2" s="7" t="s">
        <v>46</v>
      </c>
    </row>
    <row r="3" spans="1:82" x14ac:dyDescent="0.3">
      <c r="A3" s="1">
        <v>38018</v>
      </c>
      <c r="B3">
        <v>2004</v>
      </c>
      <c r="C3" t="s">
        <v>16</v>
      </c>
      <c r="D3">
        <v>2</v>
      </c>
      <c r="E3">
        <v>53997</v>
      </c>
      <c r="F3">
        <v>25464</v>
      </c>
      <c r="G3">
        <v>28533</v>
      </c>
      <c r="H3">
        <v>19158</v>
      </c>
      <c r="I3">
        <v>8778</v>
      </c>
      <c r="J3">
        <v>10380</v>
      </c>
      <c r="K3">
        <f t="shared" ref="K3:K13" si="0">+E3/H3</f>
        <v>2.8185092389602255</v>
      </c>
      <c r="L3">
        <f t="shared" ref="L3:L13" si="1">F3/I3</f>
        <v>2.9008885850991115</v>
      </c>
      <c r="M3">
        <f t="shared" ref="M3:M13" si="2">G3/J3</f>
        <v>2.7488439306358381</v>
      </c>
      <c r="Q3">
        <v>36859</v>
      </c>
      <c r="R3">
        <v>24316</v>
      </c>
      <c r="S3">
        <v>65.970319324995259</v>
      </c>
      <c r="T3">
        <v>99789</v>
      </c>
      <c r="U3">
        <v>53708</v>
      </c>
      <c r="V3">
        <v>53.821563498982847</v>
      </c>
      <c r="CD3" s="8" t="s">
        <v>56</v>
      </c>
    </row>
    <row r="4" spans="1:82" x14ac:dyDescent="0.3">
      <c r="A4" s="1">
        <v>38047</v>
      </c>
      <c r="B4">
        <v>2004</v>
      </c>
      <c r="C4" t="s">
        <v>17</v>
      </c>
      <c r="D4">
        <v>3</v>
      </c>
      <c r="E4">
        <v>42442</v>
      </c>
      <c r="F4">
        <v>23450</v>
      </c>
      <c r="G4">
        <v>18992</v>
      </c>
      <c r="H4">
        <v>14800</v>
      </c>
      <c r="I4">
        <v>8157</v>
      </c>
      <c r="J4">
        <v>6643</v>
      </c>
      <c r="K4">
        <f t="shared" si="0"/>
        <v>2.8677027027027027</v>
      </c>
      <c r="L4">
        <f t="shared" si="1"/>
        <v>2.8748314331249234</v>
      </c>
      <c r="M4">
        <f t="shared" si="2"/>
        <v>2.858949269908174</v>
      </c>
      <c r="Q4">
        <v>38440</v>
      </c>
      <c r="R4">
        <v>20595</v>
      </c>
      <c r="S4">
        <v>53.577003121748177</v>
      </c>
      <c r="T4">
        <v>104470</v>
      </c>
      <c r="U4">
        <v>42442</v>
      </c>
      <c r="V4">
        <v>40.626017038384227</v>
      </c>
      <c r="CD4" s="9" t="s">
        <v>95</v>
      </c>
    </row>
    <row r="5" spans="1:82" x14ac:dyDescent="0.3">
      <c r="A5" s="1">
        <v>38078</v>
      </c>
      <c r="B5">
        <v>2004</v>
      </c>
      <c r="C5" t="s">
        <v>18</v>
      </c>
      <c r="D5">
        <v>4</v>
      </c>
      <c r="E5">
        <v>28963</v>
      </c>
      <c r="F5">
        <v>17516</v>
      </c>
      <c r="G5">
        <v>11447</v>
      </c>
      <c r="H5">
        <v>9854</v>
      </c>
      <c r="I5">
        <v>6208</v>
      </c>
      <c r="J5">
        <v>3646</v>
      </c>
      <c r="K5">
        <f t="shared" si="0"/>
        <v>2.9392125025370408</v>
      </c>
      <c r="L5">
        <f t="shared" si="1"/>
        <v>2.821520618556701</v>
      </c>
      <c r="M5">
        <f t="shared" si="2"/>
        <v>3.13960504662644</v>
      </c>
      <c r="Q5">
        <v>36879</v>
      </c>
      <c r="R5">
        <v>13650</v>
      </c>
      <c r="S5">
        <v>37.01293419018954</v>
      </c>
      <c r="T5">
        <v>100620</v>
      </c>
      <c r="U5">
        <v>28527</v>
      </c>
      <c r="V5">
        <v>28.35122242098986</v>
      </c>
    </row>
    <row r="6" spans="1:82" x14ac:dyDescent="0.3">
      <c r="A6" s="1">
        <v>38108</v>
      </c>
      <c r="B6">
        <v>2004</v>
      </c>
      <c r="C6" t="s">
        <v>19</v>
      </c>
      <c r="D6">
        <v>5</v>
      </c>
      <c r="E6">
        <v>12236</v>
      </c>
      <c r="F6">
        <v>8424</v>
      </c>
      <c r="G6">
        <v>3812</v>
      </c>
      <c r="H6">
        <v>4838</v>
      </c>
      <c r="I6">
        <v>3172</v>
      </c>
      <c r="J6">
        <v>1666</v>
      </c>
      <c r="K6">
        <f t="shared" si="0"/>
        <v>2.5291442744935924</v>
      </c>
      <c r="L6">
        <f t="shared" si="1"/>
        <v>2.6557377049180326</v>
      </c>
      <c r="M6">
        <f t="shared" si="2"/>
        <v>2.2881152460984393</v>
      </c>
      <c r="Q6">
        <v>38331</v>
      </c>
      <c r="R6">
        <v>7454</v>
      </c>
      <c r="S6">
        <v>19.446401085283451</v>
      </c>
      <c r="T6">
        <v>102173</v>
      </c>
      <c r="U6">
        <v>12647</v>
      </c>
      <c r="V6">
        <v>12.37802550575984</v>
      </c>
    </row>
    <row r="7" spans="1:82" x14ac:dyDescent="0.3">
      <c r="A7" s="1">
        <v>38139</v>
      </c>
      <c r="B7">
        <v>2004</v>
      </c>
      <c r="C7" t="s">
        <v>20</v>
      </c>
      <c r="D7">
        <v>6</v>
      </c>
      <c r="E7">
        <v>10608</v>
      </c>
      <c r="F7">
        <v>7356</v>
      </c>
      <c r="G7">
        <v>3252</v>
      </c>
      <c r="H7">
        <v>3400</v>
      </c>
      <c r="I7">
        <v>2407</v>
      </c>
      <c r="J7">
        <v>993</v>
      </c>
      <c r="K7">
        <f t="shared" si="0"/>
        <v>3.12</v>
      </c>
      <c r="L7">
        <f t="shared" si="1"/>
        <v>3.0560864146240134</v>
      </c>
      <c r="M7">
        <f t="shared" si="2"/>
        <v>3.2749244712990935</v>
      </c>
      <c r="Q7">
        <v>36310</v>
      </c>
      <c r="R7">
        <v>5005</v>
      </c>
      <c r="S7">
        <v>13.78408152024236</v>
      </c>
      <c r="T7">
        <v>97260</v>
      </c>
      <c r="U7">
        <v>10297</v>
      </c>
      <c r="V7">
        <v>10.58708616080609</v>
      </c>
    </row>
    <row r="8" spans="1:82" x14ac:dyDescent="0.3">
      <c r="A8" s="1">
        <v>38169</v>
      </c>
      <c r="B8">
        <v>2004</v>
      </c>
      <c r="C8" t="s">
        <v>21</v>
      </c>
      <c r="D8">
        <v>7</v>
      </c>
      <c r="E8">
        <v>29902</v>
      </c>
      <c r="F8">
        <v>23570</v>
      </c>
      <c r="G8">
        <v>6332</v>
      </c>
      <c r="H8">
        <v>8115</v>
      </c>
      <c r="I8">
        <v>6531</v>
      </c>
      <c r="J8">
        <v>1584</v>
      </c>
      <c r="K8">
        <f t="shared" si="0"/>
        <v>3.6847812692544673</v>
      </c>
      <c r="L8">
        <f t="shared" si="1"/>
        <v>3.6089419690705866</v>
      </c>
      <c r="M8">
        <f t="shared" si="2"/>
        <v>3.9974747474747474</v>
      </c>
      <c r="Q8">
        <v>38719</v>
      </c>
      <c r="R8">
        <v>12706</v>
      </c>
      <c r="S8">
        <v>32.815930163485632</v>
      </c>
      <c r="T8">
        <v>104501</v>
      </c>
      <c r="U8">
        <v>30168</v>
      </c>
      <c r="V8">
        <v>28.868623266762999</v>
      </c>
    </row>
    <row r="9" spans="1:82" x14ac:dyDescent="0.3">
      <c r="A9" s="1">
        <v>38200</v>
      </c>
      <c r="B9">
        <v>2004</v>
      </c>
      <c r="C9" t="s">
        <v>22</v>
      </c>
      <c r="D9">
        <v>8</v>
      </c>
      <c r="E9">
        <v>23562</v>
      </c>
      <c r="F9">
        <v>17484</v>
      </c>
      <c r="G9">
        <v>6078</v>
      </c>
      <c r="H9">
        <v>7064</v>
      </c>
      <c r="I9">
        <v>5185</v>
      </c>
      <c r="J9">
        <v>1879</v>
      </c>
      <c r="K9">
        <f t="shared" si="0"/>
        <v>3.3355039637599093</v>
      </c>
      <c r="L9">
        <f t="shared" si="1"/>
        <v>3.3720347155255546</v>
      </c>
      <c r="M9">
        <f t="shared" si="2"/>
        <v>3.2346993081426292</v>
      </c>
      <c r="Q9">
        <v>38812</v>
      </c>
      <c r="R9">
        <v>10424</v>
      </c>
      <c r="S9">
        <v>26.857672884674841</v>
      </c>
      <c r="T9">
        <v>103106</v>
      </c>
      <c r="U9">
        <v>22862</v>
      </c>
      <c r="V9">
        <v>22.173297383275461</v>
      </c>
    </row>
    <row r="10" spans="1:82" x14ac:dyDescent="0.3">
      <c r="A10" s="1">
        <v>38231</v>
      </c>
      <c r="B10">
        <v>2004</v>
      </c>
      <c r="C10" t="s">
        <v>23</v>
      </c>
      <c r="D10">
        <v>9</v>
      </c>
      <c r="E10">
        <v>33606</v>
      </c>
      <c r="F10">
        <v>25438</v>
      </c>
      <c r="G10">
        <v>8168</v>
      </c>
      <c r="H10">
        <v>9813</v>
      </c>
      <c r="I10">
        <v>7598</v>
      </c>
      <c r="J10">
        <v>2215</v>
      </c>
      <c r="K10">
        <f t="shared" si="0"/>
        <v>3.4246407826352798</v>
      </c>
      <c r="L10">
        <f t="shared" si="1"/>
        <v>3.3479863121874178</v>
      </c>
      <c r="M10">
        <f t="shared" si="2"/>
        <v>3.6875846501128668</v>
      </c>
      <c r="Q10">
        <v>37740</v>
      </c>
      <c r="R10">
        <v>14582</v>
      </c>
      <c r="S10">
        <v>38.6380498145204</v>
      </c>
      <c r="T10">
        <v>100080</v>
      </c>
      <c r="U10">
        <v>33671</v>
      </c>
      <c r="V10">
        <v>33.644084732214232</v>
      </c>
    </row>
    <row r="11" spans="1:82" x14ac:dyDescent="0.3">
      <c r="A11" s="1">
        <v>38261</v>
      </c>
      <c r="B11">
        <v>2004</v>
      </c>
      <c r="C11" t="s">
        <v>24</v>
      </c>
      <c r="D11">
        <v>10</v>
      </c>
      <c r="E11">
        <v>30578</v>
      </c>
      <c r="F11">
        <v>17047</v>
      </c>
      <c r="G11">
        <v>13531</v>
      </c>
      <c r="H11">
        <v>11510</v>
      </c>
      <c r="I11">
        <v>6020</v>
      </c>
      <c r="J11">
        <v>5490</v>
      </c>
      <c r="K11">
        <f t="shared" si="0"/>
        <v>2.6566463944396177</v>
      </c>
      <c r="L11">
        <f t="shared" si="1"/>
        <v>2.8317275747508304</v>
      </c>
      <c r="M11">
        <f t="shared" si="2"/>
        <v>2.4646630236794169</v>
      </c>
      <c r="Q11">
        <v>39649</v>
      </c>
      <c r="R11">
        <v>16049</v>
      </c>
      <c r="S11">
        <v>40.477691745062927</v>
      </c>
      <c r="T11">
        <v>105121</v>
      </c>
      <c r="U11">
        <v>31559</v>
      </c>
      <c r="V11">
        <v>30.021594162917019</v>
      </c>
    </row>
    <row r="12" spans="1:82" x14ac:dyDescent="0.3">
      <c r="A12" s="1">
        <v>38292</v>
      </c>
      <c r="B12">
        <v>2004</v>
      </c>
      <c r="C12" t="s">
        <v>25</v>
      </c>
      <c r="D12">
        <v>11</v>
      </c>
      <c r="E12">
        <v>40368</v>
      </c>
      <c r="F12">
        <v>15951</v>
      </c>
      <c r="G12">
        <v>24417</v>
      </c>
      <c r="H12">
        <v>15856</v>
      </c>
      <c r="I12">
        <v>5937</v>
      </c>
      <c r="J12">
        <v>9919</v>
      </c>
      <c r="K12">
        <f t="shared" si="0"/>
        <v>2.5459132189707367</v>
      </c>
      <c r="L12">
        <f t="shared" si="1"/>
        <v>2.6867104598281961</v>
      </c>
      <c r="M12">
        <f t="shared" si="2"/>
        <v>2.4616392781530396</v>
      </c>
      <c r="Q12">
        <v>38730</v>
      </c>
      <c r="R12">
        <v>20341</v>
      </c>
      <c r="S12">
        <v>52.52001032791118</v>
      </c>
      <c r="T12">
        <v>102840</v>
      </c>
      <c r="U12">
        <v>41617</v>
      </c>
      <c r="V12">
        <v>40.467716841695839</v>
      </c>
    </row>
    <row r="13" spans="1:82" x14ac:dyDescent="0.3">
      <c r="A13" s="1">
        <v>38322</v>
      </c>
      <c r="B13">
        <v>2004</v>
      </c>
      <c r="C13" t="s">
        <v>26</v>
      </c>
      <c r="D13">
        <v>12</v>
      </c>
      <c r="E13">
        <v>40834</v>
      </c>
      <c r="F13">
        <v>17148</v>
      </c>
      <c r="G13">
        <v>23686</v>
      </c>
      <c r="H13">
        <v>15406</v>
      </c>
      <c r="I13">
        <v>6142</v>
      </c>
      <c r="J13">
        <v>9264</v>
      </c>
      <c r="K13">
        <f t="shared" si="0"/>
        <v>2.6505257691808386</v>
      </c>
      <c r="L13">
        <f t="shared" si="1"/>
        <v>2.791924454575057</v>
      </c>
      <c r="M13">
        <f t="shared" si="2"/>
        <v>2.5567789291882557</v>
      </c>
      <c r="Q13">
        <v>40300</v>
      </c>
      <c r="R13">
        <v>19648</v>
      </c>
      <c r="S13">
        <v>48.754342431761778</v>
      </c>
      <c r="T13">
        <v>106392</v>
      </c>
      <c r="U13">
        <v>42268</v>
      </c>
      <c r="V13">
        <v>39.728551018873603</v>
      </c>
    </row>
    <row r="14" spans="1:82" x14ac:dyDescent="0.3">
      <c r="A14" s="1">
        <v>38353</v>
      </c>
      <c r="B14">
        <v>2005</v>
      </c>
      <c r="C14" t="s">
        <v>15</v>
      </c>
      <c r="D14">
        <v>1</v>
      </c>
      <c r="E14">
        <v>72648</v>
      </c>
      <c r="F14">
        <v>33820</v>
      </c>
      <c r="G14">
        <v>38828</v>
      </c>
      <c r="H14">
        <v>28522</v>
      </c>
      <c r="I14">
        <v>12547</v>
      </c>
      <c r="J14">
        <v>15975</v>
      </c>
      <c r="K14">
        <v>2.5470864595750702</v>
      </c>
      <c r="L14">
        <v>2.69546505140671</v>
      </c>
      <c r="M14">
        <v>2.4305477308294199</v>
      </c>
      <c r="Q14">
        <v>46159</v>
      </c>
      <c r="R14">
        <v>30806</v>
      </c>
      <c r="S14">
        <v>66.738880824974501</v>
      </c>
      <c r="T14">
        <v>125488</v>
      </c>
      <c r="U14">
        <v>72648</v>
      </c>
      <c r="V14">
        <v>57.892388116792098</v>
      </c>
    </row>
    <row r="15" spans="1:82" x14ac:dyDescent="0.3">
      <c r="A15" s="1">
        <v>38384</v>
      </c>
      <c r="B15">
        <v>2005</v>
      </c>
      <c r="C15" t="s">
        <v>16</v>
      </c>
      <c r="D15">
        <v>2</v>
      </c>
      <c r="E15">
        <v>65158</v>
      </c>
      <c r="F15">
        <v>25802</v>
      </c>
      <c r="G15">
        <v>39356</v>
      </c>
      <c r="H15">
        <v>26156</v>
      </c>
      <c r="I15">
        <v>9518</v>
      </c>
      <c r="J15">
        <v>16638</v>
      </c>
      <c r="K15">
        <v>2.4911301422235801</v>
      </c>
      <c r="L15">
        <v>2.71086362681236</v>
      </c>
      <c r="M15">
        <v>2.3654285370837802</v>
      </c>
      <c r="Q15">
        <v>41468</v>
      </c>
      <c r="R15">
        <v>27745</v>
      </c>
      <c r="S15">
        <v>66.907012636249704</v>
      </c>
      <c r="T15">
        <v>113596</v>
      </c>
      <c r="U15">
        <v>65158</v>
      </c>
      <c r="V15">
        <v>57.359414063875498</v>
      </c>
    </row>
    <row r="16" spans="1:82" x14ac:dyDescent="0.3">
      <c r="A16" s="1">
        <v>38412</v>
      </c>
      <c r="B16">
        <v>2005</v>
      </c>
      <c r="C16" t="s">
        <v>17</v>
      </c>
      <c r="D16">
        <v>3</v>
      </c>
      <c r="E16">
        <v>54842</v>
      </c>
      <c r="F16">
        <v>22795</v>
      </c>
      <c r="G16">
        <v>32047</v>
      </c>
      <c r="H16">
        <v>22600</v>
      </c>
      <c r="I16">
        <v>9473</v>
      </c>
      <c r="J16">
        <v>13127</v>
      </c>
      <c r="K16">
        <v>2.4266371681415899</v>
      </c>
      <c r="L16">
        <v>2.4063126781378701</v>
      </c>
      <c r="M16">
        <v>2.44130418221985</v>
      </c>
      <c r="Q16">
        <v>45973</v>
      </c>
      <c r="R16">
        <v>24238</v>
      </c>
      <c r="S16">
        <v>52.7222500163139</v>
      </c>
      <c r="T16">
        <v>125705</v>
      </c>
      <c r="U16">
        <v>54842</v>
      </c>
      <c r="V16">
        <v>43.627540670617698</v>
      </c>
    </row>
    <row r="17" spans="1:22" x14ac:dyDescent="0.3">
      <c r="A17" s="1">
        <v>38443</v>
      </c>
      <c r="B17">
        <v>2005</v>
      </c>
      <c r="C17" t="s">
        <v>18</v>
      </c>
      <c r="D17">
        <v>4</v>
      </c>
      <c r="E17">
        <v>28778</v>
      </c>
      <c r="F17">
        <v>19177</v>
      </c>
      <c r="G17">
        <v>9601</v>
      </c>
      <c r="H17">
        <v>10901</v>
      </c>
      <c r="I17">
        <v>6999</v>
      </c>
      <c r="J17">
        <v>3902</v>
      </c>
      <c r="K17">
        <v>2.6399412897899301</v>
      </c>
      <c r="L17">
        <v>2.7399628518359802</v>
      </c>
      <c r="M17">
        <v>2.4605330599692499</v>
      </c>
      <c r="Q17">
        <v>44160</v>
      </c>
      <c r="R17">
        <v>13918</v>
      </c>
      <c r="S17">
        <v>31.5172101449275</v>
      </c>
      <c r="T17">
        <v>120522</v>
      </c>
      <c r="U17">
        <v>28778</v>
      </c>
      <c r="V17">
        <v>23.8777982443039</v>
      </c>
    </row>
    <row r="18" spans="1:22" x14ac:dyDescent="0.3">
      <c r="A18" s="1">
        <v>38473</v>
      </c>
      <c r="B18">
        <v>2005</v>
      </c>
      <c r="C18" t="s">
        <v>19</v>
      </c>
      <c r="D18">
        <v>5</v>
      </c>
      <c r="E18">
        <v>15654</v>
      </c>
      <c r="F18">
        <v>11813</v>
      </c>
      <c r="G18">
        <v>3841</v>
      </c>
      <c r="H18">
        <v>5907</v>
      </c>
      <c r="I18">
        <v>4459</v>
      </c>
      <c r="J18">
        <v>1448</v>
      </c>
      <c r="K18">
        <v>2.65007618080244</v>
      </c>
      <c r="L18">
        <v>2.6492487104731999</v>
      </c>
      <c r="M18">
        <v>2.6526243093922699</v>
      </c>
      <c r="Q18">
        <v>42997</v>
      </c>
      <c r="R18">
        <v>7653</v>
      </c>
      <c r="S18">
        <v>17.798916203456098</v>
      </c>
      <c r="T18">
        <v>120280</v>
      </c>
      <c r="U18">
        <v>15654</v>
      </c>
      <c r="V18">
        <v>13.0146325241104</v>
      </c>
    </row>
    <row r="19" spans="1:22" x14ac:dyDescent="0.3">
      <c r="A19" s="1">
        <v>38504</v>
      </c>
      <c r="B19">
        <v>2005</v>
      </c>
      <c r="C19" t="s">
        <v>20</v>
      </c>
      <c r="D19">
        <v>6</v>
      </c>
      <c r="E19">
        <v>14697</v>
      </c>
      <c r="F19">
        <v>11642</v>
      </c>
      <c r="G19">
        <v>3055</v>
      </c>
      <c r="H19">
        <v>5180</v>
      </c>
      <c r="I19">
        <v>4154</v>
      </c>
      <c r="J19">
        <v>1026</v>
      </c>
      <c r="K19">
        <v>2.8372586872586898</v>
      </c>
      <c r="L19">
        <v>2.8025999037072702</v>
      </c>
      <c r="M19">
        <v>2.9775828460039002</v>
      </c>
      <c r="Q19">
        <v>44010</v>
      </c>
      <c r="R19">
        <v>7296</v>
      </c>
      <c r="S19">
        <v>16.5780504430811</v>
      </c>
      <c r="T19">
        <v>120300</v>
      </c>
      <c r="U19">
        <v>14697</v>
      </c>
      <c r="V19">
        <v>12.216957605985</v>
      </c>
    </row>
    <row r="20" spans="1:22" x14ac:dyDescent="0.3">
      <c r="A20" s="1">
        <v>38534</v>
      </c>
      <c r="B20">
        <v>2005</v>
      </c>
      <c r="C20" t="s">
        <v>21</v>
      </c>
      <c r="D20">
        <v>7</v>
      </c>
      <c r="E20">
        <v>28459</v>
      </c>
      <c r="F20">
        <v>21715</v>
      </c>
      <c r="G20">
        <v>6744</v>
      </c>
      <c r="H20">
        <v>8144</v>
      </c>
      <c r="I20">
        <v>6172</v>
      </c>
      <c r="J20">
        <v>1972</v>
      </c>
      <c r="K20">
        <v>3.49447445972495</v>
      </c>
      <c r="L20">
        <v>3.51830848995463</v>
      </c>
      <c r="M20">
        <v>3.4198782961460399</v>
      </c>
      <c r="Q20">
        <v>45539</v>
      </c>
      <c r="R20">
        <v>12737</v>
      </c>
      <c r="S20">
        <v>27.969432793869</v>
      </c>
      <c r="T20">
        <v>125302</v>
      </c>
      <c r="U20">
        <v>28459</v>
      </c>
      <c r="V20">
        <v>22.7123270179247</v>
      </c>
    </row>
    <row r="21" spans="1:22" x14ac:dyDescent="0.3">
      <c r="A21" s="1">
        <v>38565</v>
      </c>
      <c r="B21">
        <v>2005</v>
      </c>
      <c r="C21" t="s">
        <v>22</v>
      </c>
      <c r="D21">
        <v>8</v>
      </c>
      <c r="E21">
        <v>30696</v>
      </c>
      <c r="F21">
        <v>19137</v>
      </c>
      <c r="G21">
        <v>11559</v>
      </c>
      <c r="H21">
        <v>9734</v>
      </c>
      <c r="I21">
        <v>6141</v>
      </c>
      <c r="J21">
        <v>3593</v>
      </c>
      <c r="K21">
        <v>3.1534826381754701</v>
      </c>
      <c r="L21">
        <v>3.1162677088422099</v>
      </c>
      <c r="M21">
        <v>3.2170887837461701</v>
      </c>
      <c r="Q21">
        <v>47957</v>
      </c>
      <c r="R21">
        <v>15276</v>
      </c>
      <c r="S21">
        <v>31.853535458848601</v>
      </c>
      <c r="T21">
        <v>128681</v>
      </c>
      <c r="U21">
        <v>30696</v>
      </c>
      <c r="V21">
        <v>23.854337470178201</v>
      </c>
    </row>
    <row r="22" spans="1:22" x14ac:dyDescent="0.3">
      <c r="A22" s="1">
        <v>38596</v>
      </c>
      <c r="B22">
        <v>2005</v>
      </c>
      <c r="C22" t="s">
        <v>23</v>
      </c>
      <c r="D22">
        <v>9</v>
      </c>
      <c r="E22">
        <v>47908</v>
      </c>
      <c r="F22">
        <v>31492</v>
      </c>
      <c r="G22">
        <v>16416</v>
      </c>
      <c r="H22">
        <v>14978</v>
      </c>
      <c r="I22">
        <v>8672</v>
      </c>
      <c r="J22">
        <v>6306</v>
      </c>
      <c r="K22">
        <v>3.1985578848978502</v>
      </c>
      <c r="L22">
        <v>3.6314575645756499</v>
      </c>
      <c r="M22">
        <v>2.6032350142721201</v>
      </c>
      <c r="Q22">
        <v>46500</v>
      </c>
      <c r="R22">
        <v>22658</v>
      </c>
      <c r="S22">
        <v>48.7268817204301</v>
      </c>
      <c r="T22">
        <v>125910</v>
      </c>
      <c r="U22">
        <v>47908</v>
      </c>
      <c r="V22">
        <v>38.049400365340297</v>
      </c>
    </row>
    <row r="23" spans="1:22" x14ac:dyDescent="0.3">
      <c r="A23" s="1">
        <v>38626</v>
      </c>
      <c r="B23">
        <v>2005</v>
      </c>
      <c r="C23" t="s">
        <v>24</v>
      </c>
      <c r="D23">
        <v>10</v>
      </c>
      <c r="E23">
        <v>44610</v>
      </c>
      <c r="F23">
        <v>17611</v>
      </c>
      <c r="G23">
        <v>26999</v>
      </c>
      <c r="H23">
        <v>17238</v>
      </c>
      <c r="I23">
        <v>6771</v>
      </c>
      <c r="J23">
        <v>10467</v>
      </c>
      <c r="K23">
        <v>2.5878872258962802</v>
      </c>
      <c r="L23">
        <v>2.6009452075025798</v>
      </c>
      <c r="M23">
        <v>2.5794401452183102</v>
      </c>
      <c r="Q23">
        <v>47833</v>
      </c>
      <c r="R23">
        <v>22674.34</v>
      </c>
      <c r="S23">
        <v>47.403131729141002</v>
      </c>
      <c r="T23">
        <v>128867</v>
      </c>
      <c r="U23">
        <v>44610.27</v>
      </c>
      <c r="V23">
        <v>34.6172953510208</v>
      </c>
    </row>
    <row r="24" spans="1:22" x14ac:dyDescent="0.3">
      <c r="A24" s="1">
        <v>38657</v>
      </c>
      <c r="B24">
        <v>2005</v>
      </c>
      <c r="C24" t="s">
        <v>25</v>
      </c>
      <c r="D24">
        <v>11</v>
      </c>
      <c r="E24">
        <v>63301</v>
      </c>
      <c r="F24">
        <v>17611</v>
      </c>
      <c r="G24">
        <v>45690</v>
      </c>
      <c r="H24">
        <v>26866</v>
      </c>
      <c r="I24">
        <v>7814</v>
      </c>
      <c r="J24">
        <v>19052</v>
      </c>
      <c r="K24">
        <v>2.3561750911933301</v>
      </c>
      <c r="L24">
        <v>2.25377527514717</v>
      </c>
      <c r="M24">
        <v>2.3981734201133702</v>
      </c>
      <c r="Q24">
        <v>48030</v>
      </c>
      <c r="R24">
        <v>31715</v>
      </c>
      <c r="S24">
        <v>66.031646887362101</v>
      </c>
      <c r="T24">
        <v>129540</v>
      </c>
      <c r="U24">
        <v>63301</v>
      </c>
      <c r="V24">
        <v>48.865987339817799</v>
      </c>
    </row>
    <row r="25" spans="1:22" x14ac:dyDescent="0.3">
      <c r="A25" s="1">
        <v>38687</v>
      </c>
      <c r="B25">
        <v>2005</v>
      </c>
      <c r="C25" t="s">
        <v>26</v>
      </c>
      <c r="D25">
        <v>12</v>
      </c>
      <c r="E25">
        <v>58641</v>
      </c>
      <c r="F25">
        <v>14837</v>
      </c>
      <c r="G25">
        <v>43804</v>
      </c>
      <c r="H25">
        <v>24390</v>
      </c>
      <c r="I25">
        <v>6234</v>
      </c>
      <c r="J25">
        <v>18156</v>
      </c>
      <c r="K25">
        <v>2.4043050430504298</v>
      </c>
      <c r="L25">
        <v>2.3800128328521</v>
      </c>
      <c r="M25">
        <v>2.41264595725931</v>
      </c>
      <c r="Q25">
        <v>50220</v>
      </c>
      <c r="R25">
        <v>28099</v>
      </c>
      <c r="S25">
        <v>55.951812027080898</v>
      </c>
      <c r="T25">
        <v>134695</v>
      </c>
      <c r="U25">
        <v>58641</v>
      </c>
      <c r="V25">
        <v>43.5361371988567</v>
      </c>
    </row>
    <row r="26" spans="1:22" x14ac:dyDescent="0.3">
      <c r="A26" s="1">
        <v>38718</v>
      </c>
      <c r="B26">
        <v>2006</v>
      </c>
      <c r="C26" t="s">
        <v>15</v>
      </c>
      <c r="D26">
        <v>1</v>
      </c>
      <c r="E26">
        <v>91504</v>
      </c>
      <c r="F26">
        <v>38843</v>
      </c>
      <c r="G26">
        <v>52661</v>
      </c>
      <c r="H26">
        <v>34824</v>
      </c>
      <c r="I26">
        <v>13942</v>
      </c>
      <c r="J26">
        <v>20882</v>
      </c>
      <c r="K26">
        <v>2.6447771547488301</v>
      </c>
      <c r="L26">
        <v>2.78604217472386</v>
      </c>
      <c r="M26">
        <v>2.5218369887941798</v>
      </c>
      <c r="Q26">
        <v>55149</v>
      </c>
      <c r="R26">
        <v>41357</v>
      </c>
      <c r="S26">
        <v>74.991386969845294</v>
      </c>
      <c r="T26">
        <v>144956</v>
      </c>
      <c r="U26">
        <v>91504</v>
      </c>
      <c r="V26">
        <v>63.125362178868102</v>
      </c>
    </row>
    <row r="27" spans="1:22" x14ac:dyDescent="0.3">
      <c r="A27" s="1">
        <v>38749</v>
      </c>
      <c r="B27">
        <v>2006</v>
      </c>
      <c r="C27" t="s">
        <v>16</v>
      </c>
      <c r="D27">
        <v>2</v>
      </c>
      <c r="E27">
        <v>75204</v>
      </c>
      <c r="F27">
        <v>27179</v>
      </c>
      <c r="G27">
        <v>48025</v>
      </c>
      <c r="H27">
        <v>30200</v>
      </c>
      <c r="I27">
        <v>10248</v>
      </c>
      <c r="J27">
        <v>19952</v>
      </c>
      <c r="K27">
        <v>2.3849300732565899</v>
      </c>
      <c r="L27">
        <v>2.6521272443403601</v>
      </c>
      <c r="M27">
        <v>2.4070268644747399</v>
      </c>
      <c r="Q27">
        <v>49616</v>
      </c>
      <c r="R27">
        <v>35542</v>
      </c>
      <c r="S27">
        <v>71.634150274105096</v>
      </c>
      <c r="T27">
        <v>130592</v>
      </c>
      <c r="U27">
        <v>75204</v>
      </c>
      <c r="V27">
        <v>57.586988483214903</v>
      </c>
    </row>
    <row r="28" spans="1:22" x14ac:dyDescent="0.3">
      <c r="A28" s="1">
        <v>38777</v>
      </c>
      <c r="B28">
        <v>2006</v>
      </c>
      <c r="C28" t="s">
        <v>17</v>
      </c>
      <c r="D28">
        <v>3</v>
      </c>
      <c r="E28">
        <v>59249</v>
      </c>
      <c r="F28">
        <v>23271</v>
      </c>
      <c r="G28">
        <v>35978</v>
      </c>
      <c r="H28">
        <v>24186</v>
      </c>
      <c r="I28">
        <v>8945</v>
      </c>
      <c r="J28">
        <v>15241</v>
      </c>
      <c r="K28">
        <v>2.3052291650455201</v>
      </c>
      <c r="L28">
        <v>2.6015651201788699</v>
      </c>
      <c r="M28">
        <v>2.3606062594317998</v>
      </c>
      <c r="Q28">
        <v>55025</v>
      </c>
      <c r="R28">
        <v>29093</v>
      </c>
      <c r="S28">
        <v>52.872330758746003</v>
      </c>
      <c r="T28">
        <v>145328</v>
      </c>
      <c r="U28">
        <v>59249</v>
      </c>
      <c r="V28">
        <v>40.7691566662997</v>
      </c>
    </row>
    <row r="29" spans="1:22" x14ac:dyDescent="0.3">
      <c r="A29" s="1">
        <v>38808</v>
      </c>
      <c r="B29">
        <v>2006</v>
      </c>
      <c r="C29" t="s">
        <v>18</v>
      </c>
      <c r="D29">
        <v>4</v>
      </c>
      <c r="E29">
        <v>37677</v>
      </c>
      <c r="F29">
        <v>20293</v>
      </c>
      <c r="G29">
        <v>17384</v>
      </c>
      <c r="H29">
        <v>14289</v>
      </c>
      <c r="I29">
        <v>7829</v>
      </c>
      <c r="J29">
        <v>6460</v>
      </c>
      <c r="K29">
        <v>2.4047102374265998</v>
      </c>
      <c r="L29">
        <v>2.5920296334142301</v>
      </c>
      <c r="M29">
        <v>2.69102167182663</v>
      </c>
      <c r="Q29">
        <v>53534</v>
      </c>
      <c r="R29">
        <v>18595</v>
      </c>
      <c r="S29">
        <v>34.734934807785699</v>
      </c>
      <c r="T29">
        <v>139954</v>
      </c>
      <c r="U29">
        <v>37677</v>
      </c>
      <c r="V29">
        <v>26.920988324735301</v>
      </c>
    </row>
    <row r="30" spans="1:22" x14ac:dyDescent="0.3">
      <c r="A30" s="1">
        <v>38838</v>
      </c>
      <c r="B30">
        <v>2006</v>
      </c>
      <c r="C30" t="s">
        <v>19</v>
      </c>
      <c r="D30">
        <v>5</v>
      </c>
      <c r="E30">
        <v>16641</v>
      </c>
      <c r="F30">
        <v>11570</v>
      </c>
      <c r="G30">
        <v>5071</v>
      </c>
      <c r="H30">
        <v>6778</v>
      </c>
      <c r="I30">
        <v>4751</v>
      </c>
      <c r="J30">
        <v>2027</v>
      </c>
      <c r="K30">
        <v>2.0976931803857299</v>
      </c>
      <c r="L30">
        <v>2.43527678383498</v>
      </c>
      <c r="M30">
        <v>2.5017266896892001</v>
      </c>
      <c r="Q30">
        <v>51828</v>
      </c>
      <c r="R30">
        <v>9345</v>
      </c>
      <c r="S30">
        <v>18.030794165315999</v>
      </c>
      <c r="T30">
        <v>132777</v>
      </c>
      <c r="U30">
        <v>16641</v>
      </c>
      <c r="V30">
        <v>12.5330441266183</v>
      </c>
    </row>
    <row r="31" spans="1:22" x14ac:dyDescent="0.3">
      <c r="A31" s="1">
        <v>38869</v>
      </c>
      <c r="B31">
        <v>2006</v>
      </c>
      <c r="C31" t="s">
        <v>20</v>
      </c>
      <c r="D31">
        <v>6</v>
      </c>
      <c r="E31">
        <v>13298</v>
      </c>
      <c r="F31">
        <v>9908</v>
      </c>
      <c r="G31">
        <v>3390</v>
      </c>
      <c r="H31">
        <v>5290</v>
      </c>
      <c r="I31">
        <v>4026</v>
      </c>
      <c r="J31">
        <v>1264</v>
      </c>
      <c r="K31">
        <v>2.49166198238711</v>
      </c>
      <c r="L31">
        <v>2.46100347739692</v>
      </c>
      <c r="M31">
        <v>2.68196202531646</v>
      </c>
      <c r="Q31">
        <v>52392</v>
      </c>
      <c r="R31">
        <v>7570</v>
      </c>
      <c r="S31">
        <v>14.448770804703001</v>
      </c>
      <c r="T31">
        <v>134468</v>
      </c>
      <c r="U31">
        <v>13298</v>
      </c>
      <c r="V31">
        <v>9.8893417021150007</v>
      </c>
    </row>
    <row r="32" spans="1:22" x14ac:dyDescent="0.3">
      <c r="A32" s="1">
        <v>38899</v>
      </c>
      <c r="B32">
        <v>2006</v>
      </c>
      <c r="C32" t="s">
        <v>21</v>
      </c>
      <c r="D32">
        <v>7</v>
      </c>
      <c r="E32">
        <v>23234</v>
      </c>
      <c r="F32">
        <v>15916</v>
      </c>
      <c r="G32">
        <v>7318</v>
      </c>
      <c r="H32">
        <v>7955</v>
      </c>
      <c r="I32">
        <v>6023</v>
      </c>
      <c r="J32">
        <v>1932</v>
      </c>
      <c r="K32">
        <v>2.1469229347625198</v>
      </c>
      <c r="L32">
        <v>2.6425369417233902</v>
      </c>
      <c r="M32">
        <v>3.7877846790890302</v>
      </c>
      <c r="Q32">
        <v>54811</v>
      </c>
      <c r="R32">
        <v>11360</v>
      </c>
      <c r="S32">
        <v>20.725766725657301</v>
      </c>
      <c r="T32">
        <v>144401</v>
      </c>
      <c r="U32">
        <v>23234</v>
      </c>
      <c r="V32">
        <v>16.089916274817998</v>
      </c>
    </row>
    <row r="33" spans="1:22" x14ac:dyDescent="0.3">
      <c r="A33" s="1">
        <v>38930</v>
      </c>
      <c r="B33">
        <v>2006</v>
      </c>
      <c r="C33" t="s">
        <v>22</v>
      </c>
      <c r="D33">
        <v>8</v>
      </c>
      <c r="E33">
        <v>39144</v>
      </c>
      <c r="F33">
        <v>26868</v>
      </c>
      <c r="G33">
        <v>12276</v>
      </c>
      <c r="H33">
        <v>12170</v>
      </c>
      <c r="I33">
        <v>8805</v>
      </c>
      <c r="J33">
        <v>3365</v>
      </c>
      <c r="K33">
        <v>2.8275065010112699</v>
      </c>
      <c r="L33">
        <v>3.0514480408858602</v>
      </c>
      <c r="M33">
        <v>3.6481426448737002</v>
      </c>
      <c r="Q33">
        <v>54770</v>
      </c>
      <c r="R33">
        <v>18900</v>
      </c>
      <c r="S33">
        <v>34.5079423041811</v>
      </c>
      <c r="T33">
        <v>143550</v>
      </c>
      <c r="U33">
        <v>39144</v>
      </c>
      <c r="V33">
        <v>27.2685475444096</v>
      </c>
    </row>
    <row r="34" spans="1:22" x14ac:dyDescent="0.3">
      <c r="A34" s="1">
        <v>38961</v>
      </c>
      <c r="B34">
        <v>2006</v>
      </c>
      <c r="C34" t="s">
        <v>23</v>
      </c>
      <c r="D34">
        <v>9</v>
      </c>
      <c r="E34">
        <v>47116</v>
      </c>
      <c r="F34">
        <v>32183</v>
      </c>
      <c r="G34">
        <v>14933</v>
      </c>
      <c r="H34">
        <v>14952</v>
      </c>
      <c r="I34">
        <v>10121</v>
      </c>
      <c r="J34">
        <v>4831</v>
      </c>
      <c r="K34">
        <v>2.7439287170228899</v>
      </c>
      <c r="L34">
        <v>3.1798241280505901</v>
      </c>
      <c r="M34">
        <v>3.0910784516663199</v>
      </c>
      <c r="Q34">
        <v>54630</v>
      </c>
      <c r="R34">
        <v>22819</v>
      </c>
      <c r="S34">
        <v>41.770089694307202</v>
      </c>
      <c r="T34">
        <v>141150</v>
      </c>
      <c r="U34">
        <v>47116</v>
      </c>
      <c r="V34">
        <v>33.380092100602198</v>
      </c>
    </row>
    <row r="35" spans="1:22" x14ac:dyDescent="0.3">
      <c r="A35" s="1">
        <v>38991</v>
      </c>
      <c r="B35">
        <v>2006</v>
      </c>
      <c r="C35" t="s">
        <v>24</v>
      </c>
      <c r="D35">
        <v>10</v>
      </c>
      <c r="E35">
        <v>49505</v>
      </c>
      <c r="F35">
        <v>23851</v>
      </c>
      <c r="G35">
        <v>25654</v>
      </c>
      <c r="H35">
        <v>20279</v>
      </c>
      <c r="I35">
        <v>9409</v>
      </c>
      <c r="J35">
        <v>10870</v>
      </c>
      <c r="K35">
        <v>2.1685137325331798</v>
      </c>
      <c r="L35">
        <v>2.5349133808056101</v>
      </c>
      <c r="M35">
        <v>2.36007359705612</v>
      </c>
      <c r="Q35">
        <v>56172</v>
      </c>
      <c r="R35">
        <v>25053</v>
      </c>
      <c r="S35">
        <v>44.600512710959201</v>
      </c>
      <c r="T35">
        <v>145576</v>
      </c>
      <c r="U35">
        <v>49505</v>
      </c>
      <c r="V35">
        <v>34.006292245974599</v>
      </c>
    </row>
    <row r="36" spans="1:22" x14ac:dyDescent="0.3">
      <c r="A36" s="1">
        <v>39022</v>
      </c>
      <c r="B36">
        <v>2006</v>
      </c>
      <c r="C36" t="s">
        <v>25</v>
      </c>
      <c r="D36">
        <v>11</v>
      </c>
      <c r="E36">
        <v>73301</v>
      </c>
      <c r="F36">
        <v>26999</v>
      </c>
      <c r="G36">
        <v>46302</v>
      </c>
      <c r="H36">
        <v>29716</v>
      </c>
      <c r="I36">
        <v>10703</v>
      </c>
      <c r="J36">
        <v>19013</v>
      </c>
      <c r="K36">
        <v>2.0342176832991101</v>
      </c>
      <c r="L36">
        <v>2.5225637671680801</v>
      </c>
      <c r="M36">
        <v>2.4352811234418601</v>
      </c>
      <c r="Q36">
        <v>55680</v>
      </c>
      <c r="R36">
        <v>36259</v>
      </c>
      <c r="S36">
        <v>65.120330459770102</v>
      </c>
      <c r="T36">
        <v>144360</v>
      </c>
      <c r="U36">
        <v>73301</v>
      </c>
      <c r="V36">
        <v>50.776530894984802</v>
      </c>
    </row>
    <row r="37" spans="1:22" x14ac:dyDescent="0.3">
      <c r="A37" s="1">
        <v>39052</v>
      </c>
      <c r="B37">
        <v>2006</v>
      </c>
      <c r="C37" t="s">
        <v>26</v>
      </c>
      <c r="D37">
        <v>12</v>
      </c>
      <c r="E37">
        <v>68933</v>
      </c>
      <c r="F37">
        <v>22544</v>
      </c>
      <c r="G37">
        <v>46389</v>
      </c>
      <c r="H37">
        <v>29793</v>
      </c>
      <c r="I37">
        <v>9586</v>
      </c>
      <c r="J37">
        <v>20207</v>
      </c>
      <c r="K37">
        <v>2.3163748781881099</v>
      </c>
      <c r="L37">
        <v>2.3517629876903801</v>
      </c>
      <c r="M37">
        <v>2.29568961251052</v>
      </c>
      <c r="Q37">
        <v>57970</v>
      </c>
      <c r="R37">
        <v>32343</v>
      </c>
      <c r="S37">
        <v>55.792651371399003</v>
      </c>
      <c r="T37">
        <v>150071</v>
      </c>
      <c r="U37">
        <v>68933</v>
      </c>
      <c r="V37">
        <v>45.933591433388202</v>
      </c>
    </row>
    <row r="38" spans="1:22" x14ac:dyDescent="0.3">
      <c r="A38" s="1">
        <v>39083</v>
      </c>
      <c r="B38">
        <v>2007</v>
      </c>
      <c r="C38" t="s">
        <v>15</v>
      </c>
      <c r="D38">
        <v>1</v>
      </c>
      <c r="E38">
        <v>79490</v>
      </c>
      <c r="F38">
        <f>I38*L38</f>
        <v>47928.000000000058</v>
      </c>
      <c r="G38">
        <f>J38*M38</f>
        <v>31562.000000000036</v>
      </c>
      <c r="H38">
        <v>34598</v>
      </c>
      <c r="I38">
        <v>21220</v>
      </c>
      <c r="J38">
        <v>13378</v>
      </c>
      <c r="K38">
        <v>2.2975316492282798</v>
      </c>
      <c r="L38">
        <v>2.2586239396795502</v>
      </c>
      <c r="M38">
        <v>2.3592465241441198</v>
      </c>
      <c r="Q38">
        <v>55521</v>
      </c>
      <c r="R38">
        <v>34395</v>
      </c>
      <c r="S38">
        <v>61.949532609282997</v>
      </c>
      <c r="T38">
        <v>154225</v>
      </c>
      <c r="U38">
        <v>79490</v>
      </c>
      <c r="V38">
        <v>51.541578862052198</v>
      </c>
    </row>
    <row r="39" spans="1:22" x14ac:dyDescent="0.3">
      <c r="A39" s="1">
        <v>39114</v>
      </c>
      <c r="B39">
        <v>2007</v>
      </c>
      <c r="C39" t="s">
        <v>16</v>
      </c>
      <c r="D39">
        <v>2</v>
      </c>
      <c r="E39">
        <v>75059</v>
      </c>
      <c r="F39">
        <f t="shared" ref="F39:F49" si="3">I39*L39</f>
        <v>46244.000000000051</v>
      </c>
      <c r="G39">
        <f t="shared" ref="G39:G49" si="4">J39*M39</f>
        <v>28815.000000000018</v>
      </c>
      <c r="H39">
        <v>31533</v>
      </c>
      <c r="I39">
        <v>20583</v>
      </c>
      <c r="J39">
        <v>10950</v>
      </c>
      <c r="K39">
        <v>2.3803317159800801</v>
      </c>
      <c r="L39">
        <v>2.2467084487198199</v>
      </c>
      <c r="M39">
        <v>2.6315068493150702</v>
      </c>
      <c r="Q39">
        <v>50736</v>
      </c>
      <c r="R39">
        <v>32342</v>
      </c>
      <c r="S39">
        <v>63.745663828445302</v>
      </c>
      <c r="T39">
        <v>141652</v>
      </c>
      <c r="U39">
        <v>75059</v>
      </c>
      <c r="V39">
        <v>52.988309377912103</v>
      </c>
    </row>
    <row r="40" spans="1:22" x14ac:dyDescent="0.3">
      <c r="A40" s="1">
        <v>39142</v>
      </c>
      <c r="B40">
        <v>2007</v>
      </c>
      <c r="C40" t="s">
        <v>17</v>
      </c>
      <c r="D40">
        <v>3</v>
      </c>
      <c r="E40">
        <v>62944</v>
      </c>
      <c r="F40">
        <f t="shared" si="3"/>
        <v>39952.000000000044</v>
      </c>
      <c r="G40">
        <f t="shared" si="4"/>
        <v>22992.000000000025</v>
      </c>
      <c r="H40">
        <v>25702</v>
      </c>
      <c r="I40">
        <v>17149</v>
      </c>
      <c r="J40">
        <v>8553</v>
      </c>
      <c r="K40">
        <v>2.44899229631935</v>
      </c>
      <c r="L40">
        <v>2.3296985246953201</v>
      </c>
      <c r="M40">
        <v>2.6881795861101399</v>
      </c>
      <c r="Q40">
        <v>54870</v>
      </c>
      <c r="R40">
        <v>27975</v>
      </c>
      <c r="S40">
        <v>50.984144341170001</v>
      </c>
      <c r="T40">
        <v>156612</v>
      </c>
      <c r="U40">
        <v>62944</v>
      </c>
      <c r="V40">
        <v>40.191045386049602</v>
      </c>
    </row>
    <row r="41" spans="1:22" x14ac:dyDescent="0.3">
      <c r="A41" s="1">
        <v>39173</v>
      </c>
      <c r="B41">
        <v>2007</v>
      </c>
      <c r="C41" t="s">
        <v>18</v>
      </c>
      <c r="D41">
        <v>4</v>
      </c>
      <c r="E41">
        <v>42467</v>
      </c>
      <c r="F41">
        <f t="shared" si="3"/>
        <v>30654.000000000033</v>
      </c>
      <c r="G41">
        <f t="shared" si="4"/>
        <v>11813.000000000002</v>
      </c>
      <c r="H41">
        <v>15668</v>
      </c>
      <c r="I41">
        <v>11376</v>
      </c>
      <c r="J41">
        <v>4292</v>
      </c>
      <c r="K41">
        <v>2.7104288996681101</v>
      </c>
      <c r="L41">
        <v>2.69462025316456</v>
      </c>
      <c r="M41">
        <v>2.7523299161230201</v>
      </c>
      <c r="Q41">
        <v>53670</v>
      </c>
      <c r="R41">
        <v>19694</v>
      </c>
      <c r="S41">
        <v>36.694615241289398</v>
      </c>
      <c r="T41">
        <v>146484</v>
      </c>
      <c r="U41">
        <v>42467</v>
      </c>
      <c r="V41">
        <v>28.990879549984999</v>
      </c>
    </row>
    <row r="42" spans="1:22" x14ac:dyDescent="0.3">
      <c r="A42" s="1">
        <v>39203</v>
      </c>
      <c r="B42">
        <v>2007</v>
      </c>
      <c r="C42" t="s">
        <v>19</v>
      </c>
      <c r="D42">
        <v>5</v>
      </c>
      <c r="E42">
        <v>18508</v>
      </c>
      <c r="F42">
        <f t="shared" si="3"/>
        <v>13754.000000000015</v>
      </c>
      <c r="G42">
        <f t="shared" si="4"/>
        <v>4753.9999999999927</v>
      </c>
      <c r="H42">
        <v>7933</v>
      </c>
      <c r="I42">
        <v>5686</v>
      </c>
      <c r="J42">
        <v>2247</v>
      </c>
      <c r="K42">
        <v>2.33303920332787</v>
      </c>
      <c r="L42">
        <v>2.41892367217728</v>
      </c>
      <c r="M42">
        <v>2.1157098353360002</v>
      </c>
      <c r="Q42">
        <v>50779</v>
      </c>
      <c r="R42">
        <v>9314</v>
      </c>
      <c r="S42">
        <v>18.342228086413702</v>
      </c>
      <c r="T42">
        <v>137046</v>
      </c>
      <c r="U42">
        <v>18508</v>
      </c>
      <c r="V42">
        <v>13.5049545408111</v>
      </c>
    </row>
    <row r="43" spans="1:22" x14ac:dyDescent="0.3">
      <c r="A43" s="1">
        <v>39234</v>
      </c>
      <c r="B43">
        <v>2007</v>
      </c>
      <c r="C43" t="s">
        <v>20</v>
      </c>
      <c r="D43">
        <v>6</v>
      </c>
      <c r="E43">
        <v>12321</v>
      </c>
      <c r="F43">
        <f t="shared" si="3"/>
        <v>9602.0000000000036</v>
      </c>
      <c r="G43">
        <f t="shared" si="4"/>
        <v>2718.9999999999973</v>
      </c>
      <c r="H43">
        <v>5337</v>
      </c>
      <c r="I43">
        <v>4275</v>
      </c>
      <c r="J43">
        <v>1062</v>
      </c>
      <c r="K43">
        <v>2.3086003372681301</v>
      </c>
      <c r="L43">
        <v>2.2460818713450301</v>
      </c>
      <c r="M43">
        <v>2.56026365348399</v>
      </c>
      <c r="Q43">
        <v>49745</v>
      </c>
      <c r="R43">
        <v>6298</v>
      </c>
      <c r="S43">
        <v>12.660568901397101</v>
      </c>
      <c r="T43">
        <v>136610</v>
      </c>
      <c r="U43">
        <v>12321</v>
      </c>
      <c r="V43">
        <v>9.0191054827611499</v>
      </c>
    </row>
    <row r="44" spans="1:22" x14ac:dyDescent="0.3">
      <c r="A44" s="1">
        <v>39264</v>
      </c>
      <c r="B44">
        <v>2007</v>
      </c>
      <c r="C44" t="s">
        <v>21</v>
      </c>
      <c r="D44">
        <v>7</v>
      </c>
      <c r="E44">
        <v>32145</v>
      </c>
      <c r="F44">
        <f t="shared" si="3"/>
        <v>24365.999999999989</v>
      </c>
      <c r="G44">
        <f t="shared" si="4"/>
        <v>7778.9999999999918</v>
      </c>
      <c r="H44">
        <v>10822</v>
      </c>
      <c r="I44">
        <v>8072</v>
      </c>
      <c r="J44">
        <v>2750</v>
      </c>
      <c r="K44">
        <v>2.9703381999630398</v>
      </c>
      <c r="L44">
        <v>3.0185827552031701</v>
      </c>
      <c r="M44">
        <v>2.8287272727272699</v>
      </c>
      <c r="Q44">
        <v>53125</v>
      </c>
      <c r="R44">
        <v>14872</v>
      </c>
      <c r="S44">
        <v>27.994352941176501</v>
      </c>
      <c r="T44">
        <v>148863</v>
      </c>
      <c r="U44">
        <v>32145</v>
      </c>
      <c r="V44">
        <v>21.593680095121002</v>
      </c>
    </row>
    <row r="45" spans="1:22" x14ac:dyDescent="0.3">
      <c r="A45" s="1">
        <v>39295</v>
      </c>
      <c r="B45">
        <v>2007</v>
      </c>
      <c r="C45" t="s">
        <v>22</v>
      </c>
      <c r="D45">
        <v>8</v>
      </c>
      <c r="E45">
        <v>41837</v>
      </c>
      <c r="F45">
        <f t="shared" si="3"/>
        <v>30087.000000000015</v>
      </c>
      <c r="G45">
        <f t="shared" si="4"/>
        <v>11749.999999999998</v>
      </c>
      <c r="H45">
        <v>13844</v>
      </c>
      <c r="I45">
        <v>10158</v>
      </c>
      <c r="J45">
        <v>3686</v>
      </c>
      <c r="K45">
        <v>3.0220312048540898</v>
      </c>
      <c r="L45">
        <v>2.9619019492026002</v>
      </c>
      <c r="M45">
        <v>3.1877373846988601</v>
      </c>
      <c r="Q45">
        <v>53041</v>
      </c>
      <c r="R45">
        <v>39122</v>
      </c>
      <c r="S45">
        <v>73.758036236119196</v>
      </c>
      <c r="T45">
        <v>148769</v>
      </c>
      <c r="U45">
        <v>41837</v>
      </c>
      <c r="V45">
        <v>28.122122216321898</v>
      </c>
    </row>
    <row r="46" spans="1:22" x14ac:dyDescent="0.3">
      <c r="A46" s="1">
        <v>39326</v>
      </c>
      <c r="B46">
        <v>2007</v>
      </c>
      <c r="C46" t="s">
        <v>23</v>
      </c>
      <c r="D46">
        <v>9</v>
      </c>
      <c r="E46">
        <v>48426</v>
      </c>
      <c r="F46">
        <f t="shared" si="3"/>
        <v>37606.999999999993</v>
      </c>
      <c r="G46">
        <f t="shared" si="4"/>
        <v>10818.999999999989</v>
      </c>
      <c r="H46">
        <v>17171</v>
      </c>
      <c r="I46">
        <v>13374</v>
      </c>
      <c r="J46">
        <v>3797</v>
      </c>
      <c r="K46">
        <v>2.8202201386057899</v>
      </c>
      <c r="L46">
        <v>2.81194855690145</v>
      </c>
      <c r="M46">
        <v>2.84935475375296</v>
      </c>
      <c r="Q46">
        <v>52800</v>
      </c>
      <c r="R46">
        <v>38490</v>
      </c>
      <c r="S46">
        <v>72.897727272727295</v>
      </c>
      <c r="T46">
        <v>145680</v>
      </c>
      <c r="U46">
        <v>48426</v>
      </c>
      <c r="V46">
        <v>33.241350906095597</v>
      </c>
    </row>
    <row r="47" spans="1:22" x14ac:dyDescent="0.3">
      <c r="A47" s="1">
        <v>39356</v>
      </c>
      <c r="B47">
        <v>2007</v>
      </c>
      <c r="C47" t="s">
        <v>24</v>
      </c>
      <c r="D47">
        <v>10</v>
      </c>
      <c r="E47">
        <v>52494</v>
      </c>
      <c r="F47">
        <f t="shared" si="3"/>
        <v>37692.000000000051</v>
      </c>
      <c r="G47">
        <f t="shared" si="4"/>
        <v>14802.000000000015</v>
      </c>
      <c r="H47">
        <v>22829</v>
      </c>
      <c r="I47">
        <v>16732</v>
      </c>
      <c r="J47">
        <v>6097</v>
      </c>
      <c r="K47">
        <v>2.2994436900433701</v>
      </c>
      <c r="L47">
        <v>2.2526894573272802</v>
      </c>
      <c r="M47">
        <v>2.4277513531244899</v>
      </c>
      <c r="Q47">
        <v>56017</v>
      </c>
      <c r="R47">
        <v>24815</v>
      </c>
      <c r="S47">
        <v>44.299052073477696</v>
      </c>
      <c r="T47">
        <v>155527</v>
      </c>
      <c r="U47">
        <v>52494</v>
      </c>
      <c r="V47">
        <v>33.752338822198098</v>
      </c>
    </row>
    <row r="48" spans="1:22" x14ac:dyDescent="0.3">
      <c r="A48" s="1">
        <v>39387</v>
      </c>
      <c r="B48">
        <v>2007</v>
      </c>
      <c r="C48" t="s">
        <v>25</v>
      </c>
      <c r="D48">
        <v>11</v>
      </c>
      <c r="E48">
        <v>82475</v>
      </c>
      <c r="F48">
        <f t="shared" si="3"/>
        <v>55010.999999999942</v>
      </c>
      <c r="G48">
        <f t="shared" si="4"/>
        <v>27464.000000000015</v>
      </c>
      <c r="H48">
        <v>36034</v>
      </c>
      <c r="I48">
        <v>25006</v>
      </c>
      <c r="J48">
        <v>11028</v>
      </c>
      <c r="K48">
        <v>2.2888105677970798</v>
      </c>
      <c r="L48">
        <v>2.1999120211149301</v>
      </c>
      <c r="M48">
        <v>2.4903881030105199</v>
      </c>
      <c r="Q48">
        <v>54360</v>
      </c>
      <c r="R48">
        <v>37999</v>
      </c>
      <c r="S48">
        <v>69.902501839587899</v>
      </c>
      <c r="T48">
        <v>150270</v>
      </c>
      <c r="U48">
        <v>82475</v>
      </c>
      <c r="V48">
        <v>54.884541159246702</v>
      </c>
    </row>
    <row r="49" spans="1:40" x14ac:dyDescent="0.3">
      <c r="A49" s="1">
        <v>39417</v>
      </c>
      <c r="B49">
        <v>2007</v>
      </c>
      <c r="C49" t="s">
        <v>26</v>
      </c>
      <c r="D49">
        <v>12</v>
      </c>
      <c r="E49">
        <v>68312</v>
      </c>
      <c r="F49">
        <f t="shared" si="3"/>
        <v>44590.99999999992</v>
      </c>
      <c r="G49">
        <f t="shared" si="4"/>
        <v>23721.000000000044</v>
      </c>
      <c r="H49">
        <v>29759</v>
      </c>
      <c r="I49">
        <v>20075</v>
      </c>
      <c r="J49">
        <v>9684</v>
      </c>
      <c r="K49">
        <v>2.2955072415067699</v>
      </c>
      <c r="L49">
        <v>2.2212204234122002</v>
      </c>
      <c r="M49">
        <v>2.4495043370508101</v>
      </c>
      <c r="Q49">
        <v>56854</v>
      </c>
      <c r="R49">
        <v>31191</v>
      </c>
      <c r="S49">
        <v>54.861575262954197</v>
      </c>
      <c r="T49">
        <v>155000</v>
      </c>
      <c r="U49">
        <v>68312</v>
      </c>
      <c r="V49">
        <v>44.072258064516099</v>
      </c>
    </row>
    <row r="50" spans="1:40" x14ac:dyDescent="0.3">
      <c r="A50" s="1">
        <v>39448</v>
      </c>
      <c r="B50">
        <v>2008</v>
      </c>
      <c r="C50" t="s">
        <v>15</v>
      </c>
      <c r="D50">
        <v>1</v>
      </c>
      <c r="E50">
        <v>102769</v>
      </c>
      <c r="F50">
        <v>44369</v>
      </c>
      <c r="G50">
        <v>58400</v>
      </c>
      <c r="H50">
        <v>41202</v>
      </c>
      <c r="I50">
        <v>16266</v>
      </c>
      <c r="J50">
        <v>24936</v>
      </c>
      <c r="K50">
        <v>2.49427212271249</v>
      </c>
      <c r="L50">
        <v>2.7277142505840399</v>
      </c>
      <c r="M50">
        <v>2.3419955085017601</v>
      </c>
      <c r="Q50">
        <v>60388</v>
      </c>
      <c r="R50">
        <v>44272</v>
      </c>
      <c r="S50">
        <v>73.312578658011503</v>
      </c>
      <c r="T50">
        <v>166873</v>
      </c>
      <c r="U50">
        <v>102769</v>
      </c>
      <c r="V50">
        <v>61.585157574922199</v>
      </c>
      <c r="AF50">
        <v>43</v>
      </c>
      <c r="AG50">
        <v>38936</v>
      </c>
      <c r="AH50">
        <v>96224</v>
      </c>
      <c r="AI50">
        <v>104</v>
      </c>
      <c r="AJ50">
        <v>21452</v>
      </c>
      <c r="AK50">
        <v>70649</v>
      </c>
      <c r="AL50">
        <v>147</v>
      </c>
      <c r="AM50">
        <v>60388</v>
      </c>
      <c r="AN50">
        <v>166873</v>
      </c>
    </row>
    <row r="51" spans="1:40" x14ac:dyDescent="0.3">
      <c r="A51" s="1">
        <v>39479</v>
      </c>
      <c r="B51">
        <v>2008</v>
      </c>
      <c r="C51" t="s">
        <v>16</v>
      </c>
      <c r="D51">
        <v>2</v>
      </c>
      <c r="E51">
        <v>79152</v>
      </c>
      <c r="F51">
        <v>35415</v>
      </c>
      <c r="G51">
        <v>43737</v>
      </c>
      <c r="H51">
        <v>32355</v>
      </c>
      <c r="I51">
        <v>13684</v>
      </c>
      <c r="J51">
        <v>18671</v>
      </c>
      <c r="K51">
        <v>2.4463606861381599</v>
      </c>
      <c r="L51">
        <v>2.5880590470622602</v>
      </c>
      <c r="M51">
        <v>2.3425097745166301</v>
      </c>
      <c r="Q51">
        <v>54317</v>
      </c>
      <c r="R51">
        <v>35551</v>
      </c>
      <c r="S51">
        <v>65.450963786659798</v>
      </c>
      <c r="T51">
        <v>152047</v>
      </c>
      <c r="U51">
        <v>79152</v>
      </c>
      <c r="V51">
        <v>52.057587456510198</v>
      </c>
      <c r="AF51">
        <v>44</v>
      </c>
      <c r="AG51">
        <v>34945</v>
      </c>
      <c r="AH51">
        <v>87580</v>
      </c>
      <c r="AI51">
        <v>103</v>
      </c>
      <c r="AJ51">
        <v>19372</v>
      </c>
      <c r="AK51">
        <v>64467</v>
      </c>
      <c r="AL51">
        <v>147</v>
      </c>
      <c r="AM51">
        <v>54317</v>
      </c>
      <c r="AN51">
        <v>152047</v>
      </c>
    </row>
    <row r="52" spans="1:40" x14ac:dyDescent="0.3">
      <c r="A52" s="1">
        <v>39508</v>
      </c>
      <c r="B52">
        <v>2008</v>
      </c>
      <c r="C52" t="s">
        <v>17</v>
      </c>
      <c r="D52">
        <v>3</v>
      </c>
      <c r="E52">
        <v>72492</v>
      </c>
      <c r="F52">
        <v>33838</v>
      </c>
      <c r="G52">
        <v>38654</v>
      </c>
      <c r="H52">
        <v>30638</v>
      </c>
      <c r="I52">
        <v>13876</v>
      </c>
      <c r="J52">
        <v>16762</v>
      </c>
      <c r="K52">
        <v>2.3660813369018898</v>
      </c>
      <c r="L52">
        <v>2.4385990198904599</v>
      </c>
      <c r="M52">
        <v>2.3060493974466101</v>
      </c>
      <c r="Q52">
        <v>59862</v>
      </c>
      <c r="R52">
        <v>33344</v>
      </c>
      <c r="S52">
        <v>55.701446660652799</v>
      </c>
      <c r="T52">
        <v>164428</v>
      </c>
      <c r="U52">
        <v>72492</v>
      </c>
      <c r="V52">
        <v>44.087381711144097</v>
      </c>
      <c r="AF52">
        <v>44</v>
      </c>
      <c r="AG52">
        <v>38998</v>
      </c>
      <c r="AH52">
        <v>96069</v>
      </c>
      <c r="AI52">
        <v>103</v>
      </c>
      <c r="AJ52">
        <v>20864</v>
      </c>
      <c r="AK52">
        <v>68359</v>
      </c>
      <c r="AL52">
        <v>147</v>
      </c>
      <c r="AM52">
        <v>59862</v>
      </c>
      <c r="AN52">
        <v>164428</v>
      </c>
    </row>
    <row r="53" spans="1:40" x14ac:dyDescent="0.3">
      <c r="A53" s="1">
        <v>39539</v>
      </c>
      <c r="B53">
        <v>2008</v>
      </c>
      <c r="C53" t="s">
        <v>18</v>
      </c>
      <c r="D53">
        <v>4</v>
      </c>
      <c r="E53">
        <v>34086</v>
      </c>
      <c r="F53">
        <v>20328</v>
      </c>
      <c r="G53">
        <v>13758</v>
      </c>
      <c r="H53">
        <v>13814</v>
      </c>
      <c r="I53">
        <v>8602</v>
      </c>
      <c r="J53">
        <v>5212</v>
      </c>
      <c r="K53">
        <v>2.4674967424352099</v>
      </c>
      <c r="L53">
        <v>2.3631713554987201</v>
      </c>
      <c r="M53">
        <v>2.63967766692249</v>
      </c>
      <c r="Q53">
        <v>54230</v>
      </c>
      <c r="R53">
        <v>17444</v>
      </c>
      <c r="S53">
        <v>32.166697399963098</v>
      </c>
      <c r="T53">
        <v>147980</v>
      </c>
      <c r="U53">
        <v>34086</v>
      </c>
      <c r="V53">
        <v>23.034193809974301</v>
      </c>
      <c r="AF53">
        <v>43</v>
      </c>
      <c r="AG53">
        <v>36480</v>
      </c>
      <c r="AH53">
        <v>90570</v>
      </c>
      <c r="AI53">
        <v>94</v>
      </c>
      <c r="AJ53">
        <v>17750</v>
      </c>
      <c r="AK53">
        <v>57410</v>
      </c>
      <c r="AL53">
        <v>137</v>
      </c>
      <c r="AM53">
        <v>54230</v>
      </c>
      <c r="AN53">
        <v>147980</v>
      </c>
    </row>
    <row r="54" spans="1:40" x14ac:dyDescent="0.3">
      <c r="A54" s="1">
        <v>39569</v>
      </c>
      <c r="B54">
        <v>2008</v>
      </c>
      <c r="C54" t="s">
        <v>19</v>
      </c>
      <c r="D54">
        <v>5</v>
      </c>
      <c r="E54">
        <v>17371</v>
      </c>
      <c r="F54">
        <v>11763</v>
      </c>
      <c r="G54">
        <v>5608</v>
      </c>
      <c r="H54">
        <v>7948</v>
      </c>
      <c r="I54">
        <v>5662</v>
      </c>
      <c r="J54">
        <v>2286</v>
      </c>
      <c r="K54">
        <v>2.1855812783090101</v>
      </c>
      <c r="L54">
        <v>2.07753444012716</v>
      </c>
      <c r="M54">
        <v>2.4531933508311501</v>
      </c>
      <c r="Q54">
        <v>50874</v>
      </c>
      <c r="R54">
        <v>9070</v>
      </c>
      <c r="S54">
        <v>17.8283602626096</v>
      </c>
      <c r="T54">
        <v>134051</v>
      </c>
      <c r="U54">
        <v>17371</v>
      </c>
      <c r="V54">
        <v>12.9585008690722</v>
      </c>
      <c r="AF54">
        <v>42</v>
      </c>
      <c r="AG54">
        <v>37386</v>
      </c>
      <c r="AH54">
        <v>90737</v>
      </c>
      <c r="AI54">
        <v>77</v>
      </c>
      <c r="AJ54">
        <v>13488</v>
      </c>
      <c r="AK54">
        <v>43314</v>
      </c>
      <c r="AL54">
        <v>119</v>
      </c>
      <c r="AM54">
        <v>50874</v>
      </c>
      <c r="AN54">
        <v>134051</v>
      </c>
    </row>
    <row r="55" spans="1:40" x14ac:dyDescent="0.3">
      <c r="A55" s="1">
        <v>39600</v>
      </c>
      <c r="B55">
        <v>2008</v>
      </c>
      <c r="C55" t="s">
        <v>20</v>
      </c>
      <c r="D55">
        <v>6</v>
      </c>
      <c r="E55">
        <v>16733</v>
      </c>
      <c r="F55">
        <v>13061</v>
      </c>
      <c r="G55">
        <v>3672</v>
      </c>
      <c r="H55">
        <v>7218</v>
      </c>
      <c r="I55">
        <v>5722</v>
      </c>
      <c r="J55">
        <v>1496</v>
      </c>
      <c r="K55">
        <v>2.3182321972845701</v>
      </c>
      <c r="L55">
        <v>2.2825934987766501</v>
      </c>
      <c r="M55">
        <v>2.4545454545454501</v>
      </c>
      <c r="Q55">
        <v>48256</v>
      </c>
      <c r="R55">
        <v>8019</v>
      </c>
      <c r="S55">
        <v>16.617622679045098</v>
      </c>
      <c r="T55">
        <v>134476</v>
      </c>
      <c r="U55">
        <v>16733</v>
      </c>
      <c r="V55">
        <v>12.443112525655099</v>
      </c>
      <c r="AF55">
        <v>42</v>
      </c>
      <c r="AG55">
        <v>35190</v>
      </c>
      <c r="AH55">
        <v>87090</v>
      </c>
      <c r="AI55">
        <v>80</v>
      </c>
      <c r="AJ55">
        <v>13066</v>
      </c>
      <c r="AK55">
        <v>47386</v>
      </c>
      <c r="AL55">
        <v>122</v>
      </c>
      <c r="AM55">
        <v>48256</v>
      </c>
      <c r="AN55">
        <v>134476</v>
      </c>
    </row>
    <row r="56" spans="1:40" x14ac:dyDescent="0.3">
      <c r="A56" s="1">
        <v>39630</v>
      </c>
      <c r="B56">
        <v>2008</v>
      </c>
      <c r="C56" t="s">
        <v>21</v>
      </c>
      <c r="D56">
        <v>7</v>
      </c>
      <c r="E56">
        <v>37814</v>
      </c>
      <c r="F56">
        <v>25391</v>
      </c>
      <c r="G56">
        <v>12423</v>
      </c>
      <c r="H56">
        <v>12973</v>
      </c>
      <c r="I56">
        <v>9555</v>
      </c>
      <c r="J56">
        <v>3418</v>
      </c>
      <c r="K56">
        <v>2.91482309411855</v>
      </c>
      <c r="L56">
        <v>2.6573521716378901</v>
      </c>
      <c r="M56">
        <v>3.6345816266822699</v>
      </c>
      <c r="Q56">
        <v>56924</v>
      </c>
      <c r="R56">
        <v>18558</v>
      </c>
      <c r="S56">
        <v>32.601363221136999</v>
      </c>
      <c r="T56">
        <v>154137</v>
      </c>
      <c r="U56">
        <v>37814</v>
      </c>
      <c r="V56">
        <v>24.5327208911553</v>
      </c>
      <c r="AF56">
        <v>43</v>
      </c>
      <c r="AG56">
        <v>38564</v>
      </c>
      <c r="AH56">
        <v>94550</v>
      </c>
      <c r="AI56">
        <v>90</v>
      </c>
      <c r="AJ56">
        <v>18360</v>
      </c>
      <c r="AK56">
        <v>59587</v>
      </c>
      <c r="AL56">
        <v>133</v>
      </c>
      <c r="AM56">
        <v>56924</v>
      </c>
      <c r="AN56">
        <v>154137</v>
      </c>
    </row>
    <row r="57" spans="1:40" x14ac:dyDescent="0.3">
      <c r="A57" s="1">
        <v>39661</v>
      </c>
      <c r="B57">
        <v>2008</v>
      </c>
      <c r="C57" t="s">
        <v>22</v>
      </c>
      <c r="D57">
        <v>8</v>
      </c>
      <c r="E57">
        <v>49646</v>
      </c>
      <c r="F57">
        <v>35626</v>
      </c>
      <c r="G57">
        <v>14020</v>
      </c>
      <c r="H57">
        <v>18523</v>
      </c>
      <c r="I57">
        <v>14397</v>
      </c>
      <c r="J57">
        <v>4126</v>
      </c>
      <c r="K57">
        <v>2.68023538303731</v>
      </c>
      <c r="L57">
        <v>2.4745433076335401</v>
      </c>
      <c r="M57">
        <v>3.3979641299079</v>
      </c>
      <c r="Q57">
        <v>57815</v>
      </c>
      <c r="R57">
        <v>24378</v>
      </c>
      <c r="S57">
        <v>42.165527977168601</v>
      </c>
      <c r="T57">
        <v>155496</v>
      </c>
      <c r="U57">
        <v>49646</v>
      </c>
      <c r="V57">
        <v>31.927509389309101</v>
      </c>
      <c r="AF57">
        <v>43</v>
      </c>
      <c r="AG57">
        <v>38905</v>
      </c>
      <c r="AH57">
        <v>94798</v>
      </c>
      <c r="AI57">
        <v>90</v>
      </c>
      <c r="AJ57">
        <v>18910</v>
      </c>
      <c r="AK57">
        <v>60698</v>
      </c>
      <c r="AL57">
        <v>133</v>
      </c>
      <c r="AM57">
        <v>57815</v>
      </c>
      <c r="AN57">
        <v>155496</v>
      </c>
    </row>
    <row r="58" spans="1:40" x14ac:dyDescent="0.3">
      <c r="A58" s="1">
        <v>39692</v>
      </c>
      <c r="B58">
        <v>2008</v>
      </c>
      <c r="C58" t="s">
        <v>23</v>
      </c>
      <c r="D58">
        <v>9</v>
      </c>
      <c r="E58">
        <v>56221</v>
      </c>
      <c r="F58">
        <v>38203</v>
      </c>
      <c r="G58">
        <v>18018</v>
      </c>
      <c r="H58">
        <v>20671</v>
      </c>
      <c r="I58">
        <v>14562</v>
      </c>
      <c r="J58">
        <v>6109</v>
      </c>
      <c r="K58">
        <v>2.7198006869527398</v>
      </c>
      <c r="L58">
        <v>2.6234720505425102</v>
      </c>
      <c r="M58">
        <v>2.9494188901620602</v>
      </c>
      <c r="Q58">
        <v>55680</v>
      </c>
      <c r="R58">
        <v>26398</v>
      </c>
      <c r="S58">
        <v>47.410201149425298</v>
      </c>
      <c r="T58">
        <v>153048</v>
      </c>
      <c r="U58">
        <v>56221</v>
      </c>
      <c r="V58">
        <v>36.734227170560899</v>
      </c>
      <c r="AF58">
        <v>43</v>
      </c>
      <c r="AG58">
        <v>37080</v>
      </c>
      <c r="AH58">
        <v>91530</v>
      </c>
      <c r="AI58">
        <v>92</v>
      </c>
      <c r="AJ58">
        <v>18600</v>
      </c>
      <c r="AK58">
        <v>61518</v>
      </c>
      <c r="AL58">
        <v>135</v>
      </c>
      <c r="AM58">
        <v>55680</v>
      </c>
      <c r="AN58">
        <v>153048</v>
      </c>
    </row>
    <row r="59" spans="1:40" x14ac:dyDescent="0.3">
      <c r="A59" s="1">
        <v>39722</v>
      </c>
      <c r="B59">
        <v>2008</v>
      </c>
      <c r="C59" t="s">
        <v>24</v>
      </c>
      <c r="D59">
        <v>10</v>
      </c>
      <c r="E59">
        <v>50331</v>
      </c>
      <c r="F59">
        <v>26360</v>
      </c>
      <c r="G59">
        <v>23971</v>
      </c>
      <c r="H59">
        <v>22876</v>
      </c>
      <c r="I59">
        <v>11942</v>
      </c>
      <c r="J59">
        <v>10934</v>
      </c>
      <c r="K59">
        <v>2.20016611295681</v>
      </c>
      <c r="L59">
        <v>2.2073354546977102</v>
      </c>
      <c r="M59">
        <v>2.1923358331809002</v>
      </c>
      <c r="Q59">
        <v>58652</v>
      </c>
      <c r="R59">
        <v>24806</v>
      </c>
      <c r="S59">
        <v>42.293527927436401</v>
      </c>
      <c r="T59">
        <v>160177</v>
      </c>
      <c r="U59">
        <v>50331</v>
      </c>
      <c r="V59">
        <v>31.422114286071</v>
      </c>
      <c r="AF59">
        <v>44</v>
      </c>
      <c r="AG59">
        <v>38347</v>
      </c>
      <c r="AH59">
        <v>95170</v>
      </c>
      <c r="AI59">
        <v>97</v>
      </c>
      <c r="AJ59">
        <v>20305</v>
      </c>
      <c r="AK59">
        <v>65007</v>
      </c>
      <c r="AL59">
        <v>141</v>
      </c>
      <c r="AM59">
        <v>58652</v>
      </c>
      <c r="AN59">
        <v>160177</v>
      </c>
    </row>
    <row r="60" spans="1:40" x14ac:dyDescent="0.3">
      <c r="A60" s="1">
        <v>39753</v>
      </c>
      <c r="B60">
        <v>2008</v>
      </c>
      <c r="C60" t="s">
        <v>25</v>
      </c>
      <c r="D60">
        <v>11</v>
      </c>
      <c r="E60">
        <v>66536</v>
      </c>
      <c r="F60">
        <v>24666</v>
      </c>
      <c r="G60">
        <v>41870</v>
      </c>
      <c r="H60">
        <v>31961</v>
      </c>
      <c r="I60">
        <v>11556</v>
      </c>
      <c r="J60">
        <v>20405</v>
      </c>
      <c r="K60">
        <v>2.0817871781233399</v>
      </c>
      <c r="L60">
        <v>2.1344755970924201</v>
      </c>
      <c r="M60">
        <v>2.0519480519480502</v>
      </c>
      <c r="Q60">
        <v>58710</v>
      </c>
      <c r="R60">
        <v>33015</v>
      </c>
      <c r="S60">
        <v>56.2340316811446</v>
      </c>
      <c r="T60">
        <v>157710</v>
      </c>
      <c r="U60">
        <v>66536</v>
      </c>
      <c r="V60">
        <v>42.188827594952798</v>
      </c>
      <c r="AF60">
        <v>44</v>
      </c>
      <c r="AG60">
        <v>38550</v>
      </c>
      <c r="AH60">
        <v>92910</v>
      </c>
      <c r="AI60">
        <v>100</v>
      </c>
      <c r="AJ60">
        <v>20160</v>
      </c>
      <c r="AK60">
        <v>64800</v>
      </c>
      <c r="AL60">
        <v>144</v>
      </c>
      <c r="AM60">
        <v>58710</v>
      </c>
      <c r="AN60">
        <v>157710</v>
      </c>
    </row>
    <row r="61" spans="1:40" x14ac:dyDescent="0.3">
      <c r="A61" s="1">
        <v>39783</v>
      </c>
      <c r="B61">
        <v>2008</v>
      </c>
      <c r="C61" t="s">
        <v>26</v>
      </c>
      <c r="D61">
        <v>12</v>
      </c>
      <c r="E61">
        <v>60006</v>
      </c>
      <c r="F61">
        <v>20153</v>
      </c>
      <c r="G61">
        <v>39853</v>
      </c>
      <c r="H61">
        <v>28040</v>
      </c>
      <c r="I61">
        <v>9064</v>
      </c>
      <c r="J61">
        <v>18976</v>
      </c>
      <c r="K61">
        <v>2.1400142653352399</v>
      </c>
      <c r="L61">
        <v>2.2234112974404199</v>
      </c>
      <c r="M61">
        <v>2.1001791736930899</v>
      </c>
      <c r="Q61">
        <v>63147</v>
      </c>
      <c r="R61">
        <v>28662</v>
      </c>
      <c r="S61">
        <v>45.389329659366197</v>
      </c>
      <c r="T61">
        <v>162382</v>
      </c>
      <c r="U61">
        <v>60006</v>
      </c>
      <c r="V61">
        <v>36.953603231885303</v>
      </c>
      <c r="AF61">
        <v>44</v>
      </c>
      <c r="AG61">
        <v>40083</v>
      </c>
      <c r="AH61">
        <v>95201</v>
      </c>
      <c r="AI61">
        <v>102</v>
      </c>
      <c r="AJ61">
        <v>23064</v>
      </c>
      <c r="AK61">
        <v>67181</v>
      </c>
      <c r="AL61">
        <v>146</v>
      </c>
      <c r="AM61">
        <v>63147</v>
      </c>
      <c r="AN61">
        <v>162382</v>
      </c>
    </row>
    <row r="62" spans="1:40" x14ac:dyDescent="0.3">
      <c r="A62" s="1">
        <v>39814</v>
      </c>
      <c r="B62">
        <v>2009</v>
      </c>
      <c r="C62" t="s">
        <v>15</v>
      </c>
      <c r="D62">
        <v>1</v>
      </c>
      <c r="E62">
        <v>90588</v>
      </c>
      <c r="F62">
        <v>43196</v>
      </c>
      <c r="G62">
        <v>47392</v>
      </c>
      <c r="H62">
        <v>40120</v>
      </c>
      <c r="I62">
        <v>18372</v>
      </c>
      <c r="J62">
        <v>21748</v>
      </c>
      <c r="K62">
        <v>2.2579262213359899</v>
      </c>
      <c r="L62">
        <v>2.3511865882865202</v>
      </c>
      <c r="M62">
        <v>2.1791429096928501</v>
      </c>
      <c r="Q62">
        <v>58734</v>
      </c>
      <c r="R62">
        <v>38803</v>
      </c>
      <c r="S62">
        <v>66.065651922225598</v>
      </c>
      <c r="T62">
        <v>161622</v>
      </c>
      <c r="U62">
        <v>90588</v>
      </c>
      <c r="V62">
        <v>56.049300219029597</v>
      </c>
      <c r="AF62">
        <v>43</v>
      </c>
      <c r="AG62">
        <v>39060</v>
      </c>
      <c r="AH62">
        <v>94364</v>
      </c>
      <c r="AI62">
        <v>104</v>
      </c>
      <c r="AJ62">
        <v>19674</v>
      </c>
      <c r="AK62">
        <v>67258</v>
      </c>
      <c r="AL62">
        <v>147</v>
      </c>
      <c r="AM62">
        <v>58734</v>
      </c>
      <c r="AN62">
        <v>161622</v>
      </c>
    </row>
    <row r="63" spans="1:40" x14ac:dyDescent="0.3">
      <c r="A63" s="1">
        <v>39845</v>
      </c>
      <c r="B63">
        <v>2009</v>
      </c>
      <c r="C63" t="s">
        <v>16</v>
      </c>
      <c r="D63">
        <v>2</v>
      </c>
      <c r="E63">
        <v>64404</v>
      </c>
      <c r="F63">
        <v>29526</v>
      </c>
      <c r="G63">
        <v>34878</v>
      </c>
      <c r="H63">
        <v>29899</v>
      </c>
      <c r="I63">
        <v>13239</v>
      </c>
      <c r="J63">
        <v>16660</v>
      </c>
      <c r="K63">
        <v>2.1541240216736899</v>
      </c>
      <c r="L63">
        <v>2.2302288692499399</v>
      </c>
      <c r="M63">
        <v>2.09351740696279</v>
      </c>
      <c r="Q63">
        <v>52452</v>
      </c>
      <c r="R63">
        <v>28601</v>
      </c>
      <c r="S63">
        <v>54.5279493632273</v>
      </c>
      <c r="T63">
        <v>143260</v>
      </c>
      <c r="U63">
        <v>64404</v>
      </c>
      <c r="V63">
        <v>44.956024012285397</v>
      </c>
      <c r="AF63">
        <v>43</v>
      </c>
      <c r="AG63">
        <v>35196</v>
      </c>
      <c r="AH63">
        <v>84532</v>
      </c>
      <c r="AI63">
        <v>104</v>
      </c>
      <c r="AJ63">
        <v>17256</v>
      </c>
      <c r="AK63">
        <v>58728</v>
      </c>
      <c r="AL63">
        <v>147</v>
      </c>
      <c r="AM63">
        <v>52452</v>
      </c>
      <c r="AN63">
        <v>143260</v>
      </c>
    </row>
    <row r="64" spans="1:40" x14ac:dyDescent="0.3">
      <c r="A64" s="1">
        <v>39873</v>
      </c>
      <c r="B64">
        <v>2009</v>
      </c>
      <c r="C64" t="s">
        <v>17</v>
      </c>
      <c r="D64">
        <v>3</v>
      </c>
      <c r="E64">
        <v>48027</v>
      </c>
      <c r="F64">
        <v>22560</v>
      </c>
      <c r="G64">
        <v>25467</v>
      </c>
      <c r="H64">
        <v>20639</v>
      </c>
      <c r="I64">
        <v>9297</v>
      </c>
      <c r="J64">
        <v>11342</v>
      </c>
      <c r="K64">
        <v>2.32700227724211</v>
      </c>
      <c r="L64">
        <v>2.4265892223297798</v>
      </c>
      <c r="M64">
        <v>2.2453711867395501</v>
      </c>
      <c r="Q64">
        <v>56358</v>
      </c>
      <c r="R64">
        <v>22119</v>
      </c>
      <c r="S64">
        <v>39.247311827956999</v>
      </c>
      <c r="T64">
        <v>156209</v>
      </c>
      <c r="U64">
        <v>48027</v>
      </c>
      <c r="V64">
        <v>30.7453475792048</v>
      </c>
      <c r="AF64">
        <v>43</v>
      </c>
      <c r="AG64">
        <v>38316</v>
      </c>
      <c r="AH64">
        <v>94457</v>
      </c>
      <c r="AI64">
        <v>88</v>
      </c>
      <c r="AJ64">
        <v>18042</v>
      </c>
      <c r="AK64">
        <v>61752</v>
      </c>
      <c r="AL64">
        <v>131</v>
      </c>
      <c r="AM64">
        <v>56358</v>
      </c>
      <c r="AN64">
        <v>156209</v>
      </c>
    </row>
    <row r="65" spans="1:40" x14ac:dyDescent="0.3">
      <c r="A65" s="1">
        <v>39904</v>
      </c>
      <c r="B65">
        <v>2009</v>
      </c>
      <c r="C65" t="s">
        <v>18</v>
      </c>
      <c r="D65">
        <v>4</v>
      </c>
      <c r="E65">
        <v>36150</v>
      </c>
      <c r="F65">
        <v>22102</v>
      </c>
      <c r="G65">
        <v>14048</v>
      </c>
      <c r="H65">
        <v>15875</v>
      </c>
      <c r="I65">
        <v>9711</v>
      </c>
      <c r="J65">
        <v>6164</v>
      </c>
      <c r="K65">
        <v>2.2771653543307102</v>
      </c>
      <c r="L65">
        <v>2.2759756976624401</v>
      </c>
      <c r="M65">
        <v>2.27903958468527</v>
      </c>
      <c r="Q65">
        <v>53440</v>
      </c>
      <c r="R65">
        <v>16844</v>
      </c>
      <c r="S65">
        <v>31.519461077844301</v>
      </c>
      <c r="T65">
        <v>148650</v>
      </c>
      <c r="U65">
        <v>36150</v>
      </c>
      <c r="V65">
        <v>24.318869828456101</v>
      </c>
      <c r="AF65">
        <v>43</v>
      </c>
      <c r="AG65">
        <v>36870</v>
      </c>
      <c r="AH65">
        <v>88860</v>
      </c>
      <c r="AI65">
        <v>89</v>
      </c>
      <c r="AJ65">
        <v>16570</v>
      </c>
      <c r="AK65">
        <v>59790</v>
      </c>
      <c r="AL65">
        <v>132</v>
      </c>
      <c r="AM65">
        <v>53440</v>
      </c>
      <c r="AN65">
        <v>148650</v>
      </c>
    </row>
    <row r="66" spans="1:40" x14ac:dyDescent="0.3">
      <c r="A66" s="1">
        <v>39934</v>
      </c>
      <c r="B66">
        <v>2009</v>
      </c>
      <c r="C66" t="s">
        <v>19</v>
      </c>
      <c r="D66">
        <v>5</v>
      </c>
      <c r="E66">
        <v>23477</v>
      </c>
      <c r="F66">
        <v>17542</v>
      </c>
      <c r="G66">
        <v>5935</v>
      </c>
      <c r="H66">
        <v>9882</v>
      </c>
      <c r="I66">
        <v>7651</v>
      </c>
      <c r="J66">
        <v>2231</v>
      </c>
      <c r="K66">
        <v>2.3757336571544201</v>
      </c>
      <c r="L66">
        <v>2.2927721866422699</v>
      </c>
      <c r="M66">
        <v>2.6602420439264902</v>
      </c>
      <c r="Q66">
        <v>53530</v>
      </c>
      <c r="R66">
        <v>11819</v>
      </c>
      <c r="S66">
        <v>22.079207920792101</v>
      </c>
      <c r="T66">
        <v>142060</v>
      </c>
      <c r="U66">
        <v>23477</v>
      </c>
      <c r="V66">
        <v>16.526115725749701</v>
      </c>
      <c r="AF66">
        <v>43</v>
      </c>
      <c r="AG66">
        <v>37650</v>
      </c>
      <c r="AH66">
        <v>91160</v>
      </c>
      <c r="AI66">
        <v>85</v>
      </c>
      <c r="AJ66">
        <v>15880</v>
      </c>
      <c r="AK66">
        <v>50900</v>
      </c>
      <c r="AL66">
        <v>128</v>
      </c>
      <c r="AM66">
        <v>53530</v>
      </c>
      <c r="AN66">
        <v>142060</v>
      </c>
    </row>
    <row r="67" spans="1:40" x14ac:dyDescent="0.3">
      <c r="A67" s="1">
        <v>39965</v>
      </c>
      <c r="B67">
        <v>2009</v>
      </c>
      <c r="C67" t="s">
        <v>20</v>
      </c>
      <c r="D67">
        <v>6</v>
      </c>
      <c r="E67">
        <v>29839</v>
      </c>
      <c r="F67">
        <v>23115</v>
      </c>
      <c r="G67">
        <v>6724</v>
      </c>
      <c r="H67">
        <v>10845</v>
      </c>
      <c r="I67">
        <v>8450</v>
      </c>
      <c r="J67">
        <v>2395</v>
      </c>
      <c r="K67">
        <v>2.7514061779621901</v>
      </c>
      <c r="L67">
        <v>2.7355029585798798</v>
      </c>
      <c r="M67">
        <v>2.8075156576200402</v>
      </c>
      <c r="Q67">
        <v>53868</v>
      </c>
      <c r="R67">
        <v>13437</v>
      </c>
      <c r="S67">
        <v>24.944308309200299</v>
      </c>
      <c r="T67">
        <v>152622</v>
      </c>
      <c r="U67">
        <v>29839</v>
      </c>
      <c r="V67">
        <v>19.550916643734201</v>
      </c>
      <c r="AF67">
        <v>44</v>
      </c>
      <c r="AG67">
        <v>39780</v>
      </c>
      <c r="AH67">
        <v>96180</v>
      </c>
      <c r="AI67">
        <v>85</v>
      </c>
      <c r="AJ67">
        <v>14088</v>
      </c>
      <c r="AK67">
        <v>56442</v>
      </c>
      <c r="AL67">
        <v>129</v>
      </c>
      <c r="AM67">
        <v>53868</v>
      </c>
      <c r="AN67">
        <v>152622</v>
      </c>
    </row>
    <row r="68" spans="1:40" x14ac:dyDescent="0.3">
      <c r="A68" s="1">
        <v>39995</v>
      </c>
      <c r="B68">
        <v>2009</v>
      </c>
      <c r="C68" t="s">
        <v>21</v>
      </c>
      <c r="D68">
        <v>7</v>
      </c>
      <c r="E68">
        <v>55794</v>
      </c>
      <c r="F68">
        <v>40603</v>
      </c>
      <c r="G68">
        <v>15191</v>
      </c>
      <c r="H68">
        <v>17330</v>
      </c>
      <c r="I68">
        <v>13129</v>
      </c>
      <c r="J68">
        <v>4201</v>
      </c>
      <c r="K68">
        <v>3.2196895377690602</v>
      </c>
      <c r="L68">
        <v>3.0926193921852398</v>
      </c>
      <c r="M68">
        <v>3.6160437990954502</v>
      </c>
      <c r="Q68">
        <v>59396</v>
      </c>
      <c r="R68">
        <v>23597</v>
      </c>
      <c r="S68">
        <v>39.728264529598</v>
      </c>
      <c r="T68">
        <v>168082</v>
      </c>
      <c r="U68">
        <v>55794</v>
      </c>
      <c r="V68">
        <v>33.194512202377403</v>
      </c>
      <c r="AF68">
        <v>44</v>
      </c>
      <c r="AG68">
        <v>40052</v>
      </c>
      <c r="AH68">
        <v>98859</v>
      </c>
      <c r="AI68">
        <v>104</v>
      </c>
      <c r="AJ68">
        <v>19344</v>
      </c>
      <c r="AK68">
        <v>69223</v>
      </c>
      <c r="AL68">
        <v>148</v>
      </c>
      <c r="AM68">
        <v>59396</v>
      </c>
      <c r="AN68">
        <v>168082</v>
      </c>
    </row>
    <row r="69" spans="1:40" x14ac:dyDescent="0.3">
      <c r="A69" s="1">
        <v>40026</v>
      </c>
      <c r="B69">
        <v>2009</v>
      </c>
      <c r="C69" t="s">
        <v>22</v>
      </c>
      <c r="D69">
        <v>8</v>
      </c>
      <c r="E69">
        <v>52940</v>
      </c>
      <c r="F69">
        <v>36046</v>
      </c>
      <c r="G69">
        <v>16894</v>
      </c>
      <c r="H69">
        <v>16217</v>
      </c>
      <c r="I69">
        <v>11630</v>
      </c>
      <c r="J69">
        <v>4587</v>
      </c>
      <c r="K69">
        <v>3.2644755503484002</v>
      </c>
      <c r="L69">
        <v>3.0993981083405</v>
      </c>
      <c r="M69">
        <v>3.68301722258557</v>
      </c>
      <c r="Q69">
        <v>58927</v>
      </c>
      <c r="R69">
        <v>22767</v>
      </c>
      <c r="S69">
        <v>38.635939382625999</v>
      </c>
      <c r="T69">
        <v>164975</v>
      </c>
      <c r="U69">
        <v>52940</v>
      </c>
      <c r="V69">
        <v>32.089710562206399</v>
      </c>
      <c r="AF69">
        <v>44</v>
      </c>
      <c r="AG69">
        <v>39866</v>
      </c>
      <c r="AH69">
        <v>98549</v>
      </c>
      <c r="AI69">
        <v>104</v>
      </c>
      <c r="AJ69">
        <v>19061</v>
      </c>
      <c r="AK69">
        <v>66426</v>
      </c>
      <c r="AL69">
        <v>148</v>
      </c>
      <c r="AM69">
        <v>58927</v>
      </c>
      <c r="AN69">
        <v>164975</v>
      </c>
    </row>
    <row r="70" spans="1:40" x14ac:dyDescent="0.3">
      <c r="A70" s="1">
        <v>40057</v>
      </c>
      <c r="B70">
        <v>2009</v>
      </c>
      <c r="C70" t="s">
        <v>23</v>
      </c>
      <c r="D70">
        <v>9</v>
      </c>
      <c r="E70">
        <v>56066</v>
      </c>
      <c r="F70">
        <v>39771</v>
      </c>
      <c r="G70">
        <v>16295</v>
      </c>
      <c r="H70">
        <v>18442</v>
      </c>
      <c r="I70">
        <v>13114</v>
      </c>
      <c r="J70">
        <v>5328</v>
      </c>
      <c r="K70">
        <v>3.0402906566888999</v>
      </c>
      <c r="L70">
        <v>3.0327131310050301</v>
      </c>
      <c r="M70">
        <v>3.0583708708708701</v>
      </c>
      <c r="Q70">
        <v>56130</v>
      </c>
      <c r="R70">
        <v>24282</v>
      </c>
      <c r="S70">
        <v>43.260288615713499</v>
      </c>
      <c r="T70">
        <v>158580</v>
      </c>
      <c r="U70">
        <v>56066</v>
      </c>
      <c r="V70">
        <v>35.355025854458297</v>
      </c>
      <c r="AF70">
        <v>44</v>
      </c>
      <c r="AG70">
        <v>38880</v>
      </c>
      <c r="AH70">
        <v>95910</v>
      </c>
      <c r="AI70">
        <v>95</v>
      </c>
      <c r="AJ70">
        <v>17250</v>
      </c>
      <c r="AK70">
        <v>62670</v>
      </c>
      <c r="AL70">
        <v>139</v>
      </c>
      <c r="AM70">
        <v>56130</v>
      </c>
      <c r="AN70">
        <v>158580</v>
      </c>
    </row>
    <row r="71" spans="1:40" x14ac:dyDescent="0.3">
      <c r="A71" s="1">
        <v>40087</v>
      </c>
      <c r="B71">
        <v>2009</v>
      </c>
      <c r="C71" t="s">
        <v>24</v>
      </c>
      <c r="D71">
        <v>10</v>
      </c>
      <c r="E71">
        <v>53216</v>
      </c>
      <c r="F71">
        <v>28955</v>
      </c>
      <c r="G71">
        <v>24261</v>
      </c>
      <c r="H71">
        <v>23033</v>
      </c>
      <c r="I71">
        <v>12519</v>
      </c>
      <c r="J71">
        <v>10514</v>
      </c>
      <c r="K71">
        <v>2.31032386906312</v>
      </c>
      <c r="L71">
        <v>2.3128844156881501</v>
      </c>
      <c r="M71">
        <v>2.3074947688795899</v>
      </c>
      <c r="Q71">
        <v>58785</v>
      </c>
      <c r="R71">
        <v>24417</v>
      </c>
      <c r="S71">
        <v>41.536106149527903</v>
      </c>
      <c r="T71">
        <v>161389</v>
      </c>
      <c r="U71">
        <v>53216</v>
      </c>
      <c r="V71">
        <v>32.973746661792298</v>
      </c>
      <c r="AF71">
        <v>44</v>
      </c>
      <c r="AG71">
        <v>40827</v>
      </c>
      <c r="AH71">
        <v>98611</v>
      </c>
      <c r="AI71">
        <v>104</v>
      </c>
      <c r="AJ71">
        <v>17958</v>
      </c>
      <c r="AK71">
        <v>62778</v>
      </c>
      <c r="AL71">
        <v>148</v>
      </c>
      <c r="AM71">
        <v>58785</v>
      </c>
      <c r="AN71">
        <v>161389</v>
      </c>
    </row>
    <row r="72" spans="1:40" x14ac:dyDescent="0.3">
      <c r="A72" s="1">
        <v>40118</v>
      </c>
      <c r="B72">
        <v>2009</v>
      </c>
      <c r="C72" t="s">
        <v>25</v>
      </c>
      <c r="D72">
        <v>11</v>
      </c>
      <c r="E72">
        <v>69325</v>
      </c>
      <c r="F72">
        <v>26963</v>
      </c>
      <c r="G72">
        <v>42362</v>
      </c>
      <c r="H72">
        <v>30903</v>
      </c>
      <c r="I72">
        <v>10940</v>
      </c>
      <c r="J72">
        <v>19963</v>
      </c>
      <c r="K72">
        <v>2.2433097110312898</v>
      </c>
      <c r="L72">
        <v>2.4646252285191999</v>
      </c>
      <c r="M72">
        <v>2.1220257476331201</v>
      </c>
      <c r="Q72">
        <v>59040</v>
      </c>
      <c r="R72">
        <v>33639</v>
      </c>
      <c r="S72">
        <v>56.976626016260198</v>
      </c>
      <c r="T72">
        <v>161070</v>
      </c>
      <c r="U72">
        <v>69325</v>
      </c>
      <c r="V72">
        <v>43.040293040293001</v>
      </c>
      <c r="AF72">
        <v>44</v>
      </c>
      <c r="AG72">
        <v>40080</v>
      </c>
      <c r="AH72">
        <v>96090</v>
      </c>
      <c r="AI72">
        <v>104</v>
      </c>
      <c r="AJ72">
        <v>18960</v>
      </c>
      <c r="AK72">
        <v>64980</v>
      </c>
      <c r="AL72">
        <v>148</v>
      </c>
      <c r="AM72">
        <v>59040</v>
      </c>
      <c r="AN72">
        <v>161070</v>
      </c>
    </row>
    <row r="73" spans="1:40" x14ac:dyDescent="0.3">
      <c r="A73" s="1">
        <v>40148</v>
      </c>
      <c r="B73">
        <v>2009</v>
      </c>
      <c r="C73" t="s">
        <v>26</v>
      </c>
      <c r="D73">
        <v>12</v>
      </c>
      <c r="E73">
        <v>64876</v>
      </c>
      <c r="F73">
        <v>22193</v>
      </c>
      <c r="G73">
        <v>42683</v>
      </c>
      <c r="H73">
        <v>29118</v>
      </c>
      <c r="I73">
        <v>9408</v>
      </c>
      <c r="J73">
        <v>19710</v>
      </c>
      <c r="K73">
        <v>2.2280376399478001</v>
      </c>
      <c r="L73">
        <v>2.3589498299319702</v>
      </c>
      <c r="M73">
        <v>2.16555048198884</v>
      </c>
      <c r="Q73">
        <v>60450</v>
      </c>
      <c r="R73">
        <v>28746</v>
      </c>
      <c r="S73">
        <v>47.5533498759305</v>
      </c>
      <c r="T73">
        <v>163990</v>
      </c>
      <c r="U73">
        <v>64876</v>
      </c>
      <c r="V73">
        <v>39.560948838343798</v>
      </c>
      <c r="AF73">
        <v>44</v>
      </c>
      <c r="AG73">
        <v>40765</v>
      </c>
      <c r="AH73">
        <v>98177</v>
      </c>
      <c r="AI73">
        <v>103</v>
      </c>
      <c r="AJ73">
        <v>19685</v>
      </c>
      <c r="AK73">
        <v>65813</v>
      </c>
      <c r="AL73">
        <v>147</v>
      </c>
      <c r="AM73">
        <v>60450</v>
      </c>
      <c r="AN73">
        <v>163990</v>
      </c>
    </row>
    <row r="74" spans="1:40" x14ac:dyDescent="0.3">
      <c r="A74" s="1">
        <v>40179</v>
      </c>
      <c r="B74">
        <v>2010</v>
      </c>
      <c r="C74" t="s">
        <v>15</v>
      </c>
      <c r="D74">
        <v>1</v>
      </c>
      <c r="E74">
        <v>92443</v>
      </c>
      <c r="F74">
        <v>40431</v>
      </c>
      <c r="G74">
        <v>52012</v>
      </c>
      <c r="H74">
        <v>38462</v>
      </c>
      <c r="I74">
        <v>15470</v>
      </c>
      <c r="J74">
        <v>22992</v>
      </c>
      <c r="K74">
        <v>2.4034891581301001</v>
      </c>
      <c r="L74">
        <v>2.6135100193923702</v>
      </c>
      <c r="M74">
        <v>2.2621781489213602</v>
      </c>
      <c r="Q74">
        <v>58683</v>
      </c>
      <c r="R74">
        <v>39404</v>
      </c>
      <c r="S74">
        <v>67.147214695908502</v>
      </c>
      <c r="T74">
        <v>168113</v>
      </c>
      <c r="U74">
        <v>92443</v>
      </c>
      <c r="V74">
        <v>54.988608852379102</v>
      </c>
      <c r="AF74">
        <v>46</v>
      </c>
      <c r="AG74">
        <v>42656</v>
      </c>
      <c r="AH74">
        <v>103199</v>
      </c>
      <c r="AI74">
        <v>100</v>
      </c>
      <c r="AJ74">
        <v>16027</v>
      </c>
      <c r="AK74">
        <v>64914</v>
      </c>
      <c r="AL74">
        <v>146</v>
      </c>
      <c r="AM74">
        <v>58683</v>
      </c>
      <c r="AN74">
        <v>168113</v>
      </c>
    </row>
    <row r="75" spans="1:40" x14ac:dyDescent="0.3">
      <c r="A75" s="1">
        <v>40210</v>
      </c>
      <c r="B75">
        <v>2010</v>
      </c>
      <c r="C75" t="s">
        <v>16</v>
      </c>
      <c r="D75">
        <v>2</v>
      </c>
      <c r="E75">
        <v>73366</v>
      </c>
      <c r="F75">
        <v>28361</v>
      </c>
      <c r="G75">
        <v>45005</v>
      </c>
      <c r="H75">
        <v>32334</v>
      </c>
      <c r="I75">
        <v>11242</v>
      </c>
      <c r="J75">
        <v>21092</v>
      </c>
      <c r="K75">
        <v>2.2690047627883998</v>
      </c>
      <c r="L75">
        <v>2.5227717487991499</v>
      </c>
      <c r="M75">
        <v>2.13374739237626</v>
      </c>
      <c r="Q75">
        <v>53592</v>
      </c>
      <c r="R75">
        <v>32398</v>
      </c>
      <c r="S75">
        <v>60.453052694432003</v>
      </c>
      <c r="T75">
        <v>153356</v>
      </c>
      <c r="U75">
        <v>73366</v>
      </c>
      <c r="V75">
        <v>47.840319257153297</v>
      </c>
      <c r="AF75">
        <v>46</v>
      </c>
      <c r="AG75">
        <v>39676</v>
      </c>
      <c r="AH75">
        <v>94836</v>
      </c>
      <c r="AI75">
        <v>100</v>
      </c>
      <c r="AJ75">
        <v>13916</v>
      </c>
      <c r="AK75">
        <v>58520</v>
      </c>
      <c r="AL75">
        <v>146</v>
      </c>
      <c r="AM75">
        <v>53592</v>
      </c>
      <c r="AN75">
        <v>153356</v>
      </c>
    </row>
    <row r="76" spans="1:40" x14ac:dyDescent="0.3">
      <c r="A76" s="1">
        <v>40238</v>
      </c>
      <c r="B76">
        <v>2010</v>
      </c>
      <c r="C76" t="s">
        <v>17</v>
      </c>
      <c r="D76">
        <v>3</v>
      </c>
      <c r="E76">
        <v>64871</v>
      </c>
      <c r="F76">
        <v>25752</v>
      </c>
      <c r="G76">
        <v>39119</v>
      </c>
      <c r="H76">
        <v>26016</v>
      </c>
      <c r="I76">
        <v>10409</v>
      </c>
      <c r="J76">
        <v>15607</v>
      </c>
      <c r="K76">
        <v>2.49350399753998</v>
      </c>
      <c r="L76">
        <v>2.4740128734748801</v>
      </c>
      <c r="M76">
        <v>2.50650349202281</v>
      </c>
      <c r="Q76">
        <v>58249</v>
      </c>
      <c r="R76">
        <v>28064</v>
      </c>
      <c r="S76">
        <v>48.179367886144</v>
      </c>
      <c r="T76">
        <v>168671</v>
      </c>
      <c r="U76">
        <v>64871</v>
      </c>
      <c r="V76">
        <v>38.460079088877201</v>
      </c>
      <c r="AF76">
        <v>46</v>
      </c>
      <c r="AG76">
        <v>42656</v>
      </c>
      <c r="AH76">
        <v>104036</v>
      </c>
      <c r="AI76">
        <v>100</v>
      </c>
      <c r="AJ76">
        <v>15593</v>
      </c>
      <c r="AK76">
        <v>64635</v>
      </c>
      <c r="AL76">
        <v>146</v>
      </c>
      <c r="AM76">
        <v>58249</v>
      </c>
      <c r="AN76">
        <v>168671</v>
      </c>
    </row>
    <row r="77" spans="1:40" x14ac:dyDescent="0.3">
      <c r="A77" s="1">
        <v>40269</v>
      </c>
      <c r="B77">
        <v>2010</v>
      </c>
      <c r="C77" t="s">
        <v>18</v>
      </c>
      <c r="D77">
        <v>4</v>
      </c>
      <c r="E77">
        <v>43807</v>
      </c>
      <c r="F77">
        <v>24005</v>
      </c>
      <c r="G77">
        <v>19802</v>
      </c>
      <c r="H77">
        <v>15594</v>
      </c>
      <c r="I77">
        <v>8917</v>
      </c>
      <c r="J77">
        <v>6677</v>
      </c>
      <c r="K77">
        <v>2.8092214954469701</v>
      </c>
      <c r="L77">
        <v>2.6920488953684001</v>
      </c>
      <c r="M77">
        <v>2.9657031601018402</v>
      </c>
      <c r="Q77">
        <v>55194</v>
      </c>
      <c r="R77">
        <v>18310</v>
      </c>
      <c r="S77">
        <v>33.173895713302201</v>
      </c>
      <c r="T77">
        <v>158088</v>
      </c>
      <c r="U77">
        <v>43807</v>
      </c>
      <c r="V77">
        <v>27.710515662162798</v>
      </c>
      <c r="AF77">
        <v>45</v>
      </c>
      <c r="AG77">
        <v>40530</v>
      </c>
      <c r="AH77">
        <v>98100</v>
      </c>
      <c r="AI77">
        <v>100</v>
      </c>
      <c r="AJ77">
        <v>14664</v>
      </c>
      <c r="AK77">
        <v>59988</v>
      </c>
      <c r="AL77">
        <v>145</v>
      </c>
      <c r="AM77">
        <v>55194</v>
      </c>
      <c r="AN77">
        <v>158088</v>
      </c>
    </row>
    <row r="78" spans="1:40" x14ac:dyDescent="0.3">
      <c r="A78" s="1">
        <v>40299</v>
      </c>
      <c r="B78">
        <v>2010</v>
      </c>
      <c r="C78" t="s">
        <v>19</v>
      </c>
      <c r="D78">
        <v>5</v>
      </c>
      <c r="E78">
        <v>25756</v>
      </c>
      <c r="F78">
        <v>15132</v>
      </c>
      <c r="G78">
        <v>10624</v>
      </c>
      <c r="H78">
        <v>9893</v>
      </c>
      <c r="I78">
        <v>6226</v>
      </c>
      <c r="J78">
        <v>3667</v>
      </c>
      <c r="K78">
        <v>2.60345698979076</v>
      </c>
      <c r="L78">
        <v>2.4304529392868601</v>
      </c>
      <c r="M78">
        <v>2.8971911644396</v>
      </c>
      <c r="Q78">
        <v>50011</v>
      </c>
      <c r="R78">
        <v>11334</v>
      </c>
      <c r="S78">
        <v>22.663014136889899</v>
      </c>
      <c r="T78">
        <v>141818</v>
      </c>
      <c r="U78">
        <v>25756</v>
      </c>
      <c r="V78">
        <v>18.161305335006801</v>
      </c>
      <c r="AF78">
        <v>45</v>
      </c>
      <c r="AG78">
        <v>40345</v>
      </c>
      <c r="AH78">
        <v>96661</v>
      </c>
      <c r="AI78">
        <v>67</v>
      </c>
      <c r="AJ78">
        <v>9666</v>
      </c>
      <c r="AK78">
        <v>45157</v>
      </c>
      <c r="AL78">
        <v>112</v>
      </c>
      <c r="AM78">
        <v>50011</v>
      </c>
      <c r="AN78">
        <v>141818</v>
      </c>
    </row>
    <row r="79" spans="1:40" x14ac:dyDescent="0.3">
      <c r="A79" s="1">
        <v>40330</v>
      </c>
      <c r="B79">
        <v>2010</v>
      </c>
      <c r="C79" t="s">
        <v>20</v>
      </c>
      <c r="D79">
        <v>6</v>
      </c>
      <c r="E79">
        <v>20835</v>
      </c>
      <c r="F79">
        <v>12474</v>
      </c>
      <c r="G79">
        <v>8361</v>
      </c>
      <c r="H79">
        <v>7518</v>
      </c>
      <c r="I79">
        <v>4789</v>
      </c>
      <c r="J79">
        <v>2729</v>
      </c>
      <c r="K79">
        <v>2.7713487629688802</v>
      </c>
      <c r="L79">
        <v>2.60471914804761</v>
      </c>
      <c r="M79">
        <v>3.0637596189080298</v>
      </c>
      <c r="Q79">
        <v>51930</v>
      </c>
      <c r="R79">
        <v>10007</v>
      </c>
      <c r="S79">
        <v>19.2701713845561</v>
      </c>
      <c r="T79">
        <v>147480</v>
      </c>
      <c r="U79">
        <v>20835</v>
      </c>
      <c r="V79">
        <v>14.127339300244101</v>
      </c>
      <c r="AF79">
        <v>45</v>
      </c>
      <c r="AG79">
        <v>40650</v>
      </c>
      <c r="AH79">
        <v>98550</v>
      </c>
      <c r="AI79">
        <v>66</v>
      </c>
      <c r="AJ79">
        <v>11280</v>
      </c>
      <c r="AK79">
        <v>48930</v>
      </c>
      <c r="AL79">
        <v>111</v>
      </c>
      <c r="AM79">
        <v>51930</v>
      </c>
      <c r="AN79">
        <v>147480</v>
      </c>
    </row>
    <row r="80" spans="1:40" x14ac:dyDescent="0.3">
      <c r="A80" s="1">
        <v>40360</v>
      </c>
      <c r="B80">
        <v>2010</v>
      </c>
      <c r="C80" t="s">
        <v>21</v>
      </c>
      <c r="D80">
        <v>7</v>
      </c>
      <c r="E80">
        <v>57935</v>
      </c>
      <c r="F80">
        <v>29864</v>
      </c>
      <c r="G80">
        <v>28071</v>
      </c>
      <c r="H80">
        <v>17275</v>
      </c>
      <c r="I80">
        <v>9540</v>
      </c>
      <c r="J80">
        <v>7735</v>
      </c>
      <c r="K80">
        <v>3.35369030390738</v>
      </c>
      <c r="L80">
        <v>3.1303983228511498</v>
      </c>
      <c r="M80">
        <v>3.6290885585003201</v>
      </c>
      <c r="Q80">
        <v>53971</v>
      </c>
      <c r="R80">
        <v>25104</v>
      </c>
      <c r="S80">
        <v>46.513868559041001</v>
      </c>
      <c r="T80">
        <v>157356</v>
      </c>
      <c r="U80">
        <v>57935</v>
      </c>
      <c r="V80">
        <v>36.817788962607104</v>
      </c>
      <c r="AF80">
        <v>45</v>
      </c>
      <c r="AG80">
        <v>42346</v>
      </c>
      <c r="AH80">
        <v>103168</v>
      </c>
      <c r="AI80">
        <v>70</v>
      </c>
      <c r="AJ80">
        <v>11625</v>
      </c>
      <c r="AK80">
        <v>54188</v>
      </c>
      <c r="AL80">
        <v>115</v>
      </c>
      <c r="AM80">
        <v>53971</v>
      </c>
      <c r="AN80">
        <v>157356</v>
      </c>
    </row>
    <row r="81" spans="1:40" x14ac:dyDescent="0.3">
      <c r="A81" s="1">
        <v>40391</v>
      </c>
      <c r="B81">
        <v>2010</v>
      </c>
      <c r="C81" t="s">
        <v>22</v>
      </c>
      <c r="D81">
        <v>8</v>
      </c>
      <c r="E81">
        <v>51943</v>
      </c>
      <c r="F81">
        <v>30060</v>
      </c>
      <c r="G81">
        <v>21883</v>
      </c>
      <c r="H81">
        <v>16928</v>
      </c>
      <c r="I81">
        <v>10060</v>
      </c>
      <c r="J81">
        <v>6868</v>
      </c>
      <c r="K81">
        <v>3.0684664461247602</v>
      </c>
      <c r="L81">
        <v>2.9880715705765399</v>
      </c>
      <c r="M81">
        <v>3.1862259755387301</v>
      </c>
      <c r="Q81">
        <v>54126</v>
      </c>
      <c r="R81">
        <v>22978</v>
      </c>
      <c r="S81">
        <v>42.452795329416503</v>
      </c>
      <c r="T81">
        <v>156178</v>
      </c>
      <c r="U81">
        <v>51943</v>
      </c>
      <c r="V81">
        <v>33.258845676087503</v>
      </c>
      <c r="AF81">
        <v>45</v>
      </c>
      <c r="AG81">
        <v>42470</v>
      </c>
      <c r="AH81">
        <v>101711</v>
      </c>
      <c r="AI81">
        <v>70</v>
      </c>
      <c r="AJ81">
        <v>11656</v>
      </c>
      <c r="AK81">
        <v>54467</v>
      </c>
      <c r="AL81">
        <v>115</v>
      </c>
      <c r="AM81">
        <v>54126</v>
      </c>
      <c r="AN81">
        <v>156178</v>
      </c>
    </row>
    <row r="82" spans="1:40" x14ac:dyDescent="0.3">
      <c r="A82" s="1">
        <v>40422</v>
      </c>
      <c r="B82">
        <v>2010</v>
      </c>
      <c r="C82" t="s">
        <v>23</v>
      </c>
      <c r="D82">
        <v>9</v>
      </c>
      <c r="E82">
        <v>58188</v>
      </c>
      <c r="F82">
        <v>33887</v>
      </c>
      <c r="G82">
        <v>24301</v>
      </c>
      <c r="H82">
        <v>21364</v>
      </c>
      <c r="I82">
        <v>13010</v>
      </c>
      <c r="J82">
        <v>8354</v>
      </c>
      <c r="K82">
        <v>2.7236472570679702</v>
      </c>
      <c r="L82">
        <v>2.6046887009992301</v>
      </c>
      <c r="M82">
        <v>2.9089059133349302</v>
      </c>
      <c r="Q82">
        <v>52200</v>
      </c>
      <c r="R82">
        <v>25282</v>
      </c>
      <c r="S82">
        <v>48.432950191570903</v>
      </c>
      <c r="T82">
        <v>151500</v>
      </c>
      <c r="U82">
        <v>58188</v>
      </c>
      <c r="V82">
        <v>38.407920792079203</v>
      </c>
      <c r="AF82">
        <v>45</v>
      </c>
      <c r="AG82">
        <v>41250</v>
      </c>
      <c r="AH82">
        <v>98700</v>
      </c>
      <c r="AI82">
        <v>70</v>
      </c>
      <c r="AJ82">
        <v>10950</v>
      </c>
      <c r="AK82">
        <v>52800</v>
      </c>
      <c r="AL82">
        <v>115</v>
      </c>
      <c r="AM82">
        <v>52200</v>
      </c>
      <c r="AN82">
        <v>151500</v>
      </c>
    </row>
    <row r="83" spans="1:40" x14ac:dyDescent="0.3">
      <c r="A83" s="1">
        <v>40452</v>
      </c>
      <c r="B83">
        <v>2010</v>
      </c>
      <c r="C83" t="s">
        <v>24</v>
      </c>
      <c r="D83">
        <v>10</v>
      </c>
      <c r="E83">
        <v>52694</v>
      </c>
      <c r="F83">
        <v>27976</v>
      </c>
      <c r="G83">
        <v>24718</v>
      </c>
      <c r="H83">
        <v>22291</v>
      </c>
      <c r="I83">
        <v>11387</v>
      </c>
      <c r="J83">
        <v>10904</v>
      </c>
      <c r="K83">
        <v>2.36391368713831</v>
      </c>
      <c r="L83">
        <v>2.45683674365505</v>
      </c>
      <c r="M83">
        <v>2.2668745414526801</v>
      </c>
      <c r="Q83">
        <v>56389</v>
      </c>
      <c r="R83">
        <v>24137</v>
      </c>
      <c r="S83">
        <v>42.8044476759652</v>
      </c>
      <c r="T83">
        <v>166532</v>
      </c>
      <c r="U83">
        <v>52694</v>
      </c>
      <c r="V83">
        <v>31.641966709100998</v>
      </c>
      <c r="AF83">
        <v>46</v>
      </c>
      <c r="AG83">
        <v>42811</v>
      </c>
      <c r="AH83">
        <v>105431</v>
      </c>
      <c r="AI83">
        <v>91</v>
      </c>
      <c r="AJ83">
        <v>13578</v>
      </c>
      <c r="AK83">
        <v>61101</v>
      </c>
      <c r="AL83">
        <v>137</v>
      </c>
      <c r="AM83">
        <v>56389</v>
      </c>
      <c r="AN83">
        <v>166532</v>
      </c>
    </row>
    <row r="84" spans="1:40" x14ac:dyDescent="0.3">
      <c r="A84" s="1">
        <v>40483</v>
      </c>
      <c r="B84">
        <v>2010</v>
      </c>
      <c r="C84" t="s">
        <v>25</v>
      </c>
      <c r="D84">
        <v>11</v>
      </c>
      <c r="E84">
        <v>66915</v>
      </c>
      <c r="F84">
        <v>22716</v>
      </c>
      <c r="G84">
        <v>44199</v>
      </c>
      <c r="H84">
        <v>31614</v>
      </c>
      <c r="I84">
        <v>10467</v>
      </c>
      <c r="J84">
        <v>21147</v>
      </c>
      <c r="K84">
        <v>2.1166255456443301</v>
      </c>
      <c r="L84">
        <v>2.1702493551160802</v>
      </c>
      <c r="M84">
        <v>2.0900836998155801</v>
      </c>
      <c r="Q84">
        <v>55440</v>
      </c>
      <c r="R84">
        <v>30678</v>
      </c>
      <c r="S84">
        <v>55.335497835497797</v>
      </c>
      <c r="T84">
        <v>161070</v>
      </c>
      <c r="U84">
        <v>66915</v>
      </c>
      <c r="V84">
        <v>41.544049171167799</v>
      </c>
      <c r="AF84">
        <v>46</v>
      </c>
      <c r="AG84">
        <v>40950</v>
      </c>
      <c r="AH84">
        <v>101550</v>
      </c>
      <c r="AI84">
        <v>91</v>
      </c>
      <c r="AJ84">
        <v>14490</v>
      </c>
      <c r="AK84">
        <v>59520</v>
      </c>
      <c r="AL84">
        <v>137</v>
      </c>
      <c r="AM84">
        <v>55440</v>
      </c>
      <c r="AN84">
        <v>161070</v>
      </c>
    </row>
    <row r="85" spans="1:40" x14ac:dyDescent="0.3">
      <c r="A85" s="1">
        <v>40513</v>
      </c>
      <c r="B85">
        <v>2010</v>
      </c>
      <c r="C85" t="s">
        <v>26</v>
      </c>
      <c r="D85">
        <v>12</v>
      </c>
      <c r="E85">
        <v>63371</v>
      </c>
      <c r="F85">
        <v>21024</v>
      </c>
      <c r="G85">
        <v>42347</v>
      </c>
      <c r="H85">
        <v>30108</v>
      </c>
      <c r="I85">
        <v>10477</v>
      </c>
      <c r="J85">
        <v>19631</v>
      </c>
      <c r="K85">
        <v>2.1047894247376102</v>
      </c>
      <c r="L85">
        <v>2.0066813018994001</v>
      </c>
      <c r="M85">
        <v>2.1571494065508601</v>
      </c>
      <c r="Q85">
        <v>57846</v>
      </c>
      <c r="R85">
        <v>27282</v>
      </c>
      <c r="S85">
        <v>47.1631573488227</v>
      </c>
      <c r="T85">
        <v>171027</v>
      </c>
      <c r="U85">
        <v>63371</v>
      </c>
      <c r="V85">
        <v>37.053213820040099</v>
      </c>
      <c r="AF85">
        <v>46</v>
      </c>
      <c r="AG85">
        <v>42346</v>
      </c>
      <c r="AH85">
        <v>104966</v>
      </c>
      <c r="AI85">
        <v>99</v>
      </c>
      <c r="AJ85">
        <v>15500</v>
      </c>
      <c r="AK85">
        <v>66061</v>
      </c>
      <c r="AL85">
        <v>145</v>
      </c>
      <c r="AM85">
        <v>57846</v>
      </c>
      <c r="AN85">
        <v>171027</v>
      </c>
    </row>
    <row r="86" spans="1:40" x14ac:dyDescent="0.3">
      <c r="A86" s="1">
        <v>40544</v>
      </c>
      <c r="B86">
        <v>2011</v>
      </c>
      <c r="C86" t="s">
        <v>15</v>
      </c>
      <c r="D86">
        <v>1</v>
      </c>
      <c r="E86">
        <v>90767</v>
      </c>
      <c r="F86">
        <v>47066</v>
      </c>
      <c r="G86">
        <v>43701</v>
      </c>
      <c r="H86">
        <v>40549</v>
      </c>
      <c r="I86">
        <v>20969</v>
      </c>
      <c r="J86">
        <v>19580</v>
      </c>
      <c r="K86">
        <v>2.8088981288981301</v>
      </c>
      <c r="L86">
        <v>2.2445514807573099</v>
      </c>
      <c r="M86">
        <v>2.2319203268641501</v>
      </c>
      <c r="Q86">
        <v>54560</v>
      </c>
      <c r="R86">
        <v>36532</v>
      </c>
      <c r="S86">
        <v>66.957478005865099</v>
      </c>
      <c r="T86">
        <v>163866</v>
      </c>
      <c r="U86">
        <v>90767</v>
      </c>
      <c r="V86">
        <v>55.390990199309201</v>
      </c>
      <c r="AF86">
        <v>46</v>
      </c>
      <c r="AG86">
        <v>41881</v>
      </c>
      <c r="AH86">
        <v>105927</v>
      </c>
      <c r="AI86">
        <v>70</v>
      </c>
      <c r="AJ86">
        <v>12679</v>
      </c>
      <c r="AK86">
        <v>57939</v>
      </c>
      <c r="AL86">
        <v>116</v>
      </c>
      <c r="AM86">
        <v>54560</v>
      </c>
      <c r="AN86">
        <v>163866</v>
      </c>
    </row>
    <row r="87" spans="1:40" x14ac:dyDescent="0.3">
      <c r="A87" s="1">
        <v>40575</v>
      </c>
      <c r="B87">
        <v>2011</v>
      </c>
      <c r="C87" t="s">
        <v>16</v>
      </c>
      <c r="D87">
        <v>2</v>
      </c>
      <c r="E87">
        <v>64701</v>
      </c>
      <c r="F87">
        <v>29698</v>
      </c>
      <c r="G87">
        <v>35003</v>
      </c>
      <c r="H87">
        <v>27809</v>
      </c>
      <c r="I87">
        <v>11957</v>
      </c>
      <c r="J87">
        <v>15852</v>
      </c>
      <c r="K87">
        <v>2.5972674724119802</v>
      </c>
      <c r="L87">
        <v>2.4837333779376101</v>
      </c>
      <c r="M87">
        <v>2.2081125410042901</v>
      </c>
      <c r="Q87">
        <v>50988</v>
      </c>
      <c r="R87">
        <v>28061</v>
      </c>
      <c r="S87">
        <v>55.034517925786503</v>
      </c>
      <c r="T87">
        <v>148232</v>
      </c>
      <c r="U87">
        <v>64701</v>
      </c>
      <c r="V87">
        <v>43.648469965999197</v>
      </c>
      <c r="AF87">
        <v>46</v>
      </c>
      <c r="AG87">
        <v>38192</v>
      </c>
      <c r="AH87">
        <v>96040</v>
      </c>
      <c r="AI87">
        <v>70</v>
      </c>
      <c r="AJ87">
        <v>12796</v>
      </c>
      <c r="AK87">
        <v>52192</v>
      </c>
      <c r="AL87">
        <v>116</v>
      </c>
      <c r="AM87">
        <v>50988</v>
      </c>
      <c r="AN87">
        <v>148232</v>
      </c>
    </row>
    <row r="88" spans="1:40" x14ac:dyDescent="0.3">
      <c r="A88" s="1">
        <v>40603</v>
      </c>
      <c r="B88">
        <v>2011</v>
      </c>
      <c r="C88" t="s">
        <v>17</v>
      </c>
      <c r="D88">
        <v>3</v>
      </c>
      <c r="E88">
        <v>55521</v>
      </c>
      <c r="F88">
        <v>30860</v>
      </c>
      <c r="G88">
        <v>24661</v>
      </c>
      <c r="H88">
        <v>23991</v>
      </c>
      <c r="I88">
        <v>12498</v>
      </c>
      <c r="J88">
        <v>11493</v>
      </c>
      <c r="K88">
        <v>2.8797216699801198</v>
      </c>
      <c r="L88">
        <v>2.4691950712113901</v>
      </c>
      <c r="M88">
        <v>2.1457408857565499</v>
      </c>
      <c r="Q88">
        <v>54572</v>
      </c>
      <c r="R88">
        <v>25628</v>
      </c>
      <c r="S88">
        <v>46.9618119181998</v>
      </c>
      <c r="T88">
        <v>159592</v>
      </c>
      <c r="U88">
        <v>55521</v>
      </c>
      <c r="V88">
        <v>34.789337811419102</v>
      </c>
      <c r="AF88">
        <v>46</v>
      </c>
      <c r="AG88">
        <v>42470</v>
      </c>
      <c r="AH88">
        <v>104377</v>
      </c>
      <c r="AI88">
        <v>65</v>
      </c>
      <c r="AJ88">
        <v>12102</v>
      </c>
      <c r="AK88">
        <v>55215</v>
      </c>
      <c r="AL88">
        <v>111</v>
      </c>
      <c r="AM88">
        <v>54572</v>
      </c>
      <c r="AN88">
        <v>159592</v>
      </c>
    </row>
    <row r="89" spans="1:40" x14ac:dyDescent="0.3">
      <c r="A89" s="1">
        <v>40634</v>
      </c>
      <c r="B89">
        <v>2011</v>
      </c>
      <c r="C89" t="s">
        <v>18</v>
      </c>
      <c r="D89">
        <v>4</v>
      </c>
      <c r="E89">
        <v>36741</v>
      </c>
      <c r="F89">
        <v>22888</v>
      </c>
      <c r="G89">
        <v>13853</v>
      </c>
      <c r="H89">
        <v>15759</v>
      </c>
      <c r="I89">
        <v>10571</v>
      </c>
      <c r="J89">
        <v>5188</v>
      </c>
      <c r="K89">
        <v>2.75578072226552</v>
      </c>
      <c r="L89">
        <v>2.1651688581969499</v>
      </c>
      <c r="M89">
        <v>2.6702004626060099</v>
      </c>
      <c r="Q89">
        <v>50988</v>
      </c>
      <c r="R89">
        <v>17686</v>
      </c>
      <c r="S89">
        <v>34.686592923825202</v>
      </c>
      <c r="T89">
        <v>145716</v>
      </c>
      <c r="U89">
        <v>36741</v>
      </c>
      <c r="V89">
        <v>25.214115128057301</v>
      </c>
      <c r="AF89">
        <v>46</v>
      </c>
      <c r="AG89">
        <v>41142</v>
      </c>
      <c r="AH89">
        <v>100194</v>
      </c>
      <c r="AI89">
        <v>56</v>
      </c>
      <c r="AJ89">
        <v>9846</v>
      </c>
      <c r="AK89">
        <v>45522</v>
      </c>
      <c r="AL89">
        <v>102</v>
      </c>
      <c r="AM89">
        <v>50988</v>
      </c>
      <c r="AN89">
        <v>145716</v>
      </c>
    </row>
    <row r="90" spans="1:40" x14ac:dyDescent="0.3">
      <c r="A90" s="1">
        <v>40664</v>
      </c>
      <c r="B90">
        <v>2011</v>
      </c>
      <c r="C90" t="s">
        <v>19</v>
      </c>
      <c r="D90">
        <v>5</v>
      </c>
      <c r="E90">
        <v>18128</v>
      </c>
      <c r="F90">
        <v>13031</v>
      </c>
      <c r="G90">
        <v>5097</v>
      </c>
      <c r="H90">
        <v>8057</v>
      </c>
      <c r="I90">
        <v>5721</v>
      </c>
      <c r="J90">
        <v>2336</v>
      </c>
      <c r="K90">
        <v>2.5422885572139302</v>
      </c>
      <c r="L90">
        <v>2.2777486453417199</v>
      </c>
      <c r="M90">
        <v>2.1819349315068499</v>
      </c>
      <c r="Q90">
        <v>50323</v>
      </c>
      <c r="R90">
        <v>9519</v>
      </c>
      <c r="S90">
        <v>18.915803906762299</v>
      </c>
      <c r="T90">
        <v>143347</v>
      </c>
      <c r="U90">
        <v>18128</v>
      </c>
      <c r="V90">
        <v>12.646236056562101</v>
      </c>
      <c r="AF90">
        <v>45</v>
      </c>
      <c r="AG90">
        <v>41199</v>
      </c>
      <c r="AH90">
        <v>102486</v>
      </c>
      <c r="AI90">
        <v>47</v>
      </c>
      <c r="AJ90">
        <v>9124</v>
      </c>
      <c r="AK90">
        <v>40861</v>
      </c>
      <c r="AL90">
        <v>92</v>
      </c>
      <c r="AM90">
        <v>50323</v>
      </c>
      <c r="AN90">
        <v>143347</v>
      </c>
    </row>
    <row r="91" spans="1:40" x14ac:dyDescent="0.3">
      <c r="A91" s="1">
        <v>40695</v>
      </c>
      <c r="B91">
        <v>2011</v>
      </c>
      <c r="C91" t="s">
        <v>20</v>
      </c>
      <c r="D91">
        <v>6</v>
      </c>
      <c r="E91">
        <v>10820</v>
      </c>
      <c r="F91">
        <v>7852</v>
      </c>
      <c r="G91">
        <v>2968</v>
      </c>
      <c r="H91">
        <v>4048</v>
      </c>
      <c r="I91">
        <v>2878</v>
      </c>
      <c r="J91">
        <v>1170</v>
      </c>
      <c r="K91">
        <v>3.8753138075313802</v>
      </c>
      <c r="L91">
        <v>2.72828353022933</v>
      </c>
      <c r="M91">
        <v>2.5367521367521402</v>
      </c>
      <c r="Q91">
        <v>48480</v>
      </c>
      <c r="R91">
        <v>5461</v>
      </c>
      <c r="S91">
        <v>11.264438943894399</v>
      </c>
      <c r="T91">
        <v>145920</v>
      </c>
      <c r="U91">
        <v>10820</v>
      </c>
      <c r="V91">
        <v>7.4150219298245599</v>
      </c>
      <c r="AF91">
        <v>45</v>
      </c>
      <c r="AG91">
        <v>39900</v>
      </c>
      <c r="AH91">
        <v>99090</v>
      </c>
      <c r="AI91">
        <v>50</v>
      </c>
      <c r="AJ91">
        <v>8580</v>
      </c>
      <c r="AK91">
        <v>46830</v>
      </c>
      <c r="AL91">
        <v>95</v>
      </c>
      <c r="AM91">
        <v>48480</v>
      </c>
      <c r="AN91">
        <v>145920</v>
      </c>
    </row>
    <row r="92" spans="1:40" x14ac:dyDescent="0.3">
      <c r="A92" s="1">
        <v>40725</v>
      </c>
      <c r="B92">
        <v>2011</v>
      </c>
      <c r="C92" t="s">
        <v>21</v>
      </c>
      <c r="D92">
        <v>7</v>
      </c>
      <c r="E92">
        <v>53200</v>
      </c>
      <c r="F92">
        <v>29867</v>
      </c>
      <c r="G92">
        <v>23333</v>
      </c>
      <c r="H92">
        <v>17718</v>
      </c>
      <c r="I92">
        <v>10216</v>
      </c>
      <c r="J92">
        <v>7502</v>
      </c>
      <c r="K92">
        <v>3.8660399529964802</v>
      </c>
      <c r="L92">
        <v>2.9235512920908402</v>
      </c>
      <c r="M92">
        <v>3.1102372700613201</v>
      </c>
      <c r="Q92">
        <v>53103</v>
      </c>
      <c r="R92">
        <v>21612</v>
      </c>
      <c r="S92">
        <v>40.698265634709898</v>
      </c>
      <c r="T92">
        <v>157976</v>
      </c>
      <c r="U92">
        <v>53200</v>
      </c>
      <c r="V92">
        <v>33.676001417936902</v>
      </c>
      <c r="AF92">
        <v>46</v>
      </c>
      <c r="AG92">
        <v>42098</v>
      </c>
      <c r="AH92">
        <v>105493</v>
      </c>
      <c r="AI92">
        <v>58</v>
      </c>
      <c r="AJ92">
        <v>11005</v>
      </c>
      <c r="AK92">
        <v>52483</v>
      </c>
      <c r="AL92">
        <v>104</v>
      </c>
      <c r="AM92">
        <v>53103</v>
      </c>
      <c r="AN92">
        <v>157976</v>
      </c>
    </row>
    <row r="93" spans="1:40" x14ac:dyDescent="0.3">
      <c r="A93" s="1">
        <v>40756</v>
      </c>
      <c r="B93">
        <v>2011</v>
      </c>
      <c r="C93" t="s">
        <v>22</v>
      </c>
      <c r="D93">
        <v>8</v>
      </c>
      <c r="E93">
        <v>53043</v>
      </c>
      <c r="F93">
        <v>33319</v>
      </c>
      <c r="G93">
        <v>19724</v>
      </c>
      <c r="H93">
        <v>17074</v>
      </c>
      <c r="I93">
        <v>10948</v>
      </c>
      <c r="J93">
        <v>6126</v>
      </c>
      <c r="K93">
        <v>4.1572263144526298</v>
      </c>
      <c r="L93">
        <v>3.04338691998539</v>
      </c>
      <c r="M93">
        <v>3.2197192295135499</v>
      </c>
      <c r="Q93">
        <v>52886</v>
      </c>
      <c r="R93">
        <v>23583</v>
      </c>
      <c r="S93">
        <v>44.592141587565699</v>
      </c>
      <c r="T93">
        <v>154566</v>
      </c>
      <c r="U93">
        <v>53043</v>
      </c>
      <c r="V93">
        <v>34.317378983735097</v>
      </c>
      <c r="AF93">
        <v>45</v>
      </c>
      <c r="AG93">
        <v>41757</v>
      </c>
      <c r="AH93">
        <v>103509</v>
      </c>
      <c r="AI93">
        <v>57</v>
      </c>
      <c r="AJ93">
        <v>11129</v>
      </c>
      <c r="AK93">
        <v>51057</v>
      </c>
      <c r="AL93">
        <v>102</v>
      </c>
      <c r="AM93">
        <v>52886</v>
      </c>
      <c r="AN93">
        <v>154566</v>
      </c>
    </row>
    <row r="94" spans="1:40" x14ac:dyDescent="0.3">
      <c r="A94" s="1">
        <v>40787</v>
      </c>
      <c r="B94">
        <v>2011</v>
      </c>
      <c r="C94" t="s">
        <v>23</v>
      </c>
      <c r="D94">
        <v>9</v>
      </c>
      <c r="E94">
        <v>58203</v>
      </c>
      <c r="F94">
        <v>37521</v>
      </c>
      <c r="G94">
        <v>20682</v>
      </c>
      <c r="H94">
        <v>18992</v>
      </c>
      <c r="I94">
        <v>12813</v>
      </c>
      <c r="J94">
        <v>6179</v>
      </c>
      <c r="K94">
        <v>3.78321011209158</v>
      </c>
      <c r="L94">
        <v>2.9283540154530598</v>
      </c>
      <c r="M94">
        <v>3.3471435507363698</v>
      </c>
      <c r="Q94">
        <v>49764</v>
      </c>
      <c r="R94">
        <v>25341</v>
      </c>
      <c r="S94">
        <v>50.922353508560398</v>
      </c>
      <c r="T94">
        <v>146160</v>
      </c>
      <c r="U94">
        <v>58203</v>
      </c>
      <c r="V94">
        <v>39.821428571428598</v>
      </c>
      <c r="AF94">
        <v>45</v>
      </c>
      <c r="AG94">
        <v>40200</v>
      </c>
      <c r="AH94">
        <v>99510</v>
      </c>
      <c r="AI94">
        <v>57</v>
      </c>
      <c r="AJ94">
        <v>9564</v>
      </c>
      <c r="AK94">
        <v>46650</v>
      </c>
      <c r="AL94">
        <v>102</v>
      </c>
      <c r="AM94">
        <v>49764</v>
      </c>
      <c r="AN94">
        <v>146160</v>
      </c>
    </row>
    <row r="95" spans="1:40" x14ac:dyDescent="0.3">
      <c r="A95" s="1">
        <v>40817</v>
      </c>
      <c r="B95">
        <v>2011</v>
      </c>
      <c r="C95" t="s">
        <v>24</v>
      </c>
      <c r="D95">
        <v>10</v>
      </c>
      <c r="E95">
        <v>49137</v>
      </c>
      <c r="F95">
        <v>27703</v>
      </c>
      <c r="G95">
        <v>21434</v>
      </c>
      <c r="H95">
        <v>19395</v>
      </c>
      <c r="I95">
        <v>10351</v>
      </c>
      <c r="J95">
        <v>9044</v>
      </c>
      <c r="K95">
        <v>2.7397577484859301</v>
      </c>
      <c r="L95">
        <v>2.6763597720027099</v>
      </c>
      <c r="M95">
        <v>2.3699690402476801</v>
      </c>
      <c r="Q95">
        <v>53585</v>
      </c>
      <c r="R95">
        <v>23181</v>
      </c>
      <c r="S95">
        <v>43.260240739012801</v>
      </c>
      <c r="T95">
        <v>157115</v>
      </c>
      <c r="U95">
        <v>49137</v>
      </c>
      <c r="V95">
        <v>31.274544123731001</v>
      </c>
      <c r="AF95">
        <v>46</v>
      </c>
      <c r="AG95">
        <v>42780</v>
      </c>
      <c r="AH95">
        <v>106299</v>
      </c>
      <c r="AI95">
        <v>57</v>
      </c>
      <c r="AJ95">
        <v>10805</v>
      </c>
      <c r="AK95">
        <v>50816</v>
      </c>
      <c r="AL95">
        <v>103</v>
      </c>
      <c r="AM95">
        <v>53585</v>
      </c>
      <c r="AN95">
        <v>157115</v>
      </c>
    </row>
    <row r="96" spans="1:40" x14ac:dyDescent="0.3">
      <c r="A96" s="1">
        <v>40848</v>
      </c>
      <c r="B96">
        <v>2011</v>
      </c>
      <c r="C96" t="s">
        <v>25</v>
      </c>
      <c r="D96">
        <v>11</v>
      </c>
      <c r="E96">
        <v>64003</v>
      </c>
      <c r="F96">
        <v>29218</v>
      </c>
      <c r="G96">
        <v>34785</v>
      </c>
      <c r="H96">
        <v>28887</v>
      </c>
      <c r="I96">
        <v>13117</v>
      </c>
      <c r="J96">
        <v>15770</v>
      </c>
      <c r="K96">
        <v>2.75</v>
      </c>
      <c r="L96">
        <v>2.2335088262620002</v>
      </c>
      <c r="M96">
        <v>2.21</v>
      </c>
      <c r="Q96">
        <v>53130</v>
      </c>
      <c r="R96">
        <v>28915</v>
      </c>
      <c r="S96">
        <v>54.423113118765301</v>
      </c>
      <c r="T96">
        <v>153330</v>
      </c>
      <c r="U96">
        <v>64003</v>
      </c>
      <c r="V96">
        <v>41.741994391182402</v>
      </c>
      <c r="AF96">
        <v>46</v>
      </c>
      <c r="AG96">
        <v>41310</v>
      </c>
      <c r="AH96">
        <v>103140</v>
      </c>
      <c r="AI96">
        <v>63</v>
      </c>
      <c r="AJ96">
        <v>11070</v>
      </c>
      <c r="AK96">
        <v>51750</v>
      </c>
      <c r="AL96">
        <v>109</v>
      </c>
      <c r="AM96">
        <v>52380</v>
      </c>
      <c r="AN96">
        <v>154890</v>
      </c>
    </row>
    <row r="97" spans="1:40" x14ac:dyDescent="0.3">
      <c r="A97" s="1">
        <v>40878</v>
      </c>
      <c r="B97">
        <v>2011</v>
      </c>
      <c r="C97" t="s">
        <v>26</v>
      </c>
      <c r="D97">
        <v>12</v>
      </c>
      <c r="E97">
        <v>58586</v>
      </c>
      <c r="F97">
        <v>25934</v>
      </c>
      <c r="G97">
        <v>32652</v>
      </c>
      <c r="H97">
        <v>25598</v>
      </c>
      <c r="I97">
        <v>11220</v>
      </c>
      <c r="J97">
        <v>14378</v>
      </c>
      <c r="K97">
        <v>2.61</v>
      </c>
      <c r="L97">
        <v>2.31</v>
      </c>
      <c r="M97">
        <v>2.27</v>
      </c>
      <c r="Q97">
        <v>54808</v>
      </c>
      <c r="R97">
        <v>25466</v>
      </c>
      <c r="S97">
        <v>46.464019851116603</v>
      </c>
      <c r="T97">
        <v>159588</v>
      </c>
      <c r="U97">
        <v>58586</v>
      </c>
      <c r="V97">
        <v>36.7107802591674</v>
      </c>
      <c r="AF97">
        <v>46</v>
      </c>
      <c r="AG97">
        <v>42346</v>
      </c>
      <c r="AH97">
        <v>105896</v>
      </c>
      <c r="AI97">
        <v>63</v>
      </c>
      <c r="AJ97">
        <v>12462</v>
      </c>
      <c r="AK97">
        <v>53692</v>
      </c>
      <c r="AL97">
        <v>109</v>
      </c>
      <c r="AM97">
        <v>54808</v>
      </c>
      <c r="AN97">
        <v>159588</v>
      </c>
    </row>
    <row r="98" spans="1:40" x14ac:dyDescent="0.3">
      <c r="A98" s="1">
        <v>40909</v>
      </c>
      <c r="B98">
        <v>2012</v>
      </c>
      <c r="C98" t="s">
        <v>15</v>
      </c>
      <c r="D98">
        <v>1</v>
      </c>
      <c r="E98">
        <v>88755</v>
      </c>
      <c r="F98">
        <v>41657</v>
      </c>
      <c r="G98">
        <v>47098</v>
      </c>
      <c r="H98">
        <v>38010</v>
      </c>
      <c r="I98">
        <v>16909</v>
      </c>
      <c r="J98">
        <v>21101</v>
      </c>
      <c r="K98">
        <v>2.62334038054968</v>
      </c>
      <c r="L98">
        <v>2.4635992666627202</v>
      </c>
      <c r="M98">
        <v>2.2320269181555399</v>
      </c>
      <c r="Q98">
        <v>52173</v>
      </c>
      <c r="R98">
        <v>35309</v>
      </c>
      <c r="S98">
        <v>67.676767676767696</v>
      </c>
      <c r="T98">
        <v>159526</v>
      </c>
      <c r="U98">
        <v>88755</v>
      </c>
      <c r="V98">
        <v>55.636698719957899</v>
      </c>
      <c r="AF98">
        <v>42</v>
      </c>
      <c r="AG98">
        <v>41509</v>
      </c>
      <c r="AH98">
        <v>102796</v>
      </c>
      <c r="AI98">
        <v>67</v>
      </c>
      <c r="AJ98">
        <v>10664</v>
      </c>
      <c r="AK98">
        <v>56730</v>
      </c>
      <c r="AL98">
        <v>109</v>
      </c>
      <c r="AM98">
        <v>52173</v>
      </c>
      <c r="AN98">
        <v>159526</v>
      </c>
    </row>
    <row r="99" spans="1:40" x14ac:dyDescent="0.3">
      <c r="A99" s="1">
        <v>40940</v>
      </c>
      <c r="B99">
        <v>2012</v>
      </c>
      <c r="C99" t="s">
        <v>16</v>
      </c>
      <c r="D99">
        <v>2</v>
      </c>
      <c r="E99">
        <v>69031</v>
      </c>
      <c r="F99">
        <v>31284</v>
      </c>
      <c r="G99">
        <v>37747</v>
      </c>
      <c r="H99">
        <v>31251</v>
      </c>
      <c r="I99">
        <v>13412</v>
      </c>
      <c r="J99">
        <v>17839</v>
      </c>
      <c r="K99">
        <v>2.4935722239092999</v>
      </c>
      <c r="L99">
        <v>2.3325380256486699</v>
      </c>
      <c r="M99">
        <v>2.1159818375469501</v>
      </c>
      <c r="Q99">
        <v>49329</v>
      </c>
      <c r="R99">
        <v>28600</v>
      </c>
      <c r="S99">
        <v>57.978065640900901</v>
      </c>
      <c r="T99">
        <v>150568</v>
      </c>
      <c r="U99">
        <v>69031</v>
      </c>
      <c r="V99">
        <v>45.847059136071401</v>
      </c>
      <c r="AF99">
        <v>42</v>
      </c>
      <c r="AG99">
        <v>39063</v>
      </c>
      <c r="AH99">
        <v>97730</v>
      </c>
      <c r="AI99">
        <v>67</v>
      </c>
      <c r="AJ99">
        <v>10266</v>
      </c>
      <c r="AK99">
        <v>52838</v>
      </c>
      <c r="AL99">
        <v>109</v>
      </c>
      <c r="AM99">
        <v>49329</v>
      </c>
      <c r="AN99">
        <v>150568</v>
      </c>
    </row>
    <row r="100" spans="1:40" x14ac:dyDescent="0.3">
      <c r="A100" s="1">
        <v>40969</v>
      </c>
      <c r="B100">
        <v>2012</v>
      </c>
      <c r="C100" t="s">
        <v>17</v>
      </c>
      <c r="D100">
        <v>3</v>
      </c>
      <c r="E100">
        <v>49459</v>
      </c>
      <c r="F100">
        <v>23615</v>
      </c>
      <c r="G100">
        <v>25844</v>
      </c>
      <c r="H100">
        <v>21819</v>
      </c>
      <c r="I100">
        <v>10327</v>
      </c>
      <c r="J100">
        <v>11492</v>
      </c>
      <c r="K100">
        <v>2.46016448213827</v>
      </c>
      <c r="L100">
        <v>2.2867241212356002</v>
      </c>
      <c r="M100">
        <v>2.2488687782805399</v>
      </c>
      <c r="Q100">
        <v>52111</v>
      </c>
      <c r="R100">
        <v>22227</v>
      </c>
      <c r="S100">
        <v>42.653182629387302</v>
      </c>
      <c r="T100">
        <v>159526</v>
      </c>
      <c r="U100">
        <v>49459</v>
      </c>
      <c r="V100">
        <v>31.003723530960499</v>
      </c>
      <c r="AF100">
        <v>42</v>
      </c>
      <c r="AG100">
        <v>40858</v>
      </c>
      <c r="AH100">
        <v>102951</v>
      </c>
      <c r="AI100">
        <v>67</v>
      </c>
      <c r="AJ100">
        <v>11253</v>
      </c>
      <c r="AK100">
        <v>56575</v>
      </c>
      <c r="AL100">
        <v>109</v>
      </c>
      <c r="AM100">
        <v>52111</v>
      </c>
      <c r="AN100">
        <v>159526</v>
      </c>
    </row>
    <row r="101" spans="1:40" x14ac:dyDescent="0.3">
      <c r="A101" s="1">
        <v>41000</v>
      </c>
      <c r="B101">
        <v>2012</v>
      </c>
      <c r="C101" t="s">
        <v>18</v>
      </c>
      <c r="D101">
        <v>4</v>
      </c>
      <c r="E101">
        <v>36627</v>
      </c>
      <c r="F101">
        <v>24530</v>
      </c>
      <c r="G101">
        <v>12097</v>
      </c>
      <c r="H101">
        <v>15052</v>
      </c>
      <c r="I101">
        <v>10157</v>
      </c>
      <c r="J101">
        <v>4895</v>
      </c>
      <c r="K101">
        <v>2.7719410634208801</v>
      </c>
      <c r="L101">
        <v>2.4150831938564501</v>
      </c>
      <c r="M101">
        <v>2.47129724208376</v>
      </c>
      <c r="Q101">
        <v>47430</v>
      </c>
      <c r="R101">
        <v>15238</v>
      </c>
      <c r="S101">
        <v>32.127345561880702</v>
      </c>
      <c r="T101">
        <v>150270</v>
      </c>
      <c r="U101">
        <v>36627</v>
      </c>
      <c r="V101">
        <v>24.374126572170098</v>
      </c>
      <c r="AF101">
        <v>39</v>
      </c>
      <c r="AG101">
        <v>37380</v>
      </c>
      <c r="AH101">
        <v>96240</v>
      </c>
      <c r="AI101">
        <v>64</v>
      </c>
      <c r="AJ101">
        <v>10050</v>
      </c>
      <c r="AK101">
        <v>54030</v>
      </c>
      <c r="AL101">
        <v>103</v>
      </c>
      <c r="AM101">
        <v>47430</v>
      </c>
      <c r="AN101">
        <v>150270</v>
      </c>
    </row>
    <row r="102" spans="1:40" x14ac:dyDescent="0.3">
      <c r="A102" s="1">
        <v>41030</v>
      </c>
      <c r="B102">
        <v>2012</v>
      </c>
      <c r="C102" t="s">
        <v>19</v>
      </c>
      <c r="D102">
        <v>5</v>
      </c>
      <c r="E102">
        <v>14988</v>
      </c>
      <c r="F102">
        <v>10942</v>
      </c>
      <c r="G102">
        <v>4046</v>
      </c>
      <c r="H102">
        <v>6436</v>
      </c>
      <c r="I102">
        <v>4774</v>
      </c>
      <c r="J102">
        <v>1662</v>
      </c>
      <c r="K102">
        <v>3.1621294615850002</v>
      </c>
      <c r="L102">
        <v>2.2919983242563902</v>
      </c>
      <c r="M102">
        <v>2.4344163658243101</v>
      </c>
      <c r="Q102">
        <v>43641</v>
      </c>
      <c r="R102">
        <v>7452</v>
      </c>
      <c r="S102">
        <v>17.0756857083935</v>
      </c>
      <c r="T102">
        <v>128057</v>
      </c>
      <c r="U102">
        <v>14988</v>
      </c>
      <c r="V102">
        <v>11.704162989918601</v>
      </c>
      <c r="AF102">
        <v>40</v>
      </c>
      <c r="AG102">
        <v>36976</v>
      </c>
      <c r="AH102">
        <v>91510</v>
      </c>
      <c r="AI102">
        <v>47</v>
      </c>
      <c r="AJ102">
        <v>6665</v>
      </c>
      <c r="AK102">
        <v>36547</v>
      </c>
      <c r="AL102">
        <v>87</v>
      </c>
      <c r="AM102">
        <v>43641</v>
      </c>
      <c r="AN102">
        <v>128057</v>
      </c>
    </row>
    <row r="103" spans="1:40" x14ac:dyDescent="0.3">
      <c r="A103" s="1">
        <v>41061</v>
      </c>
      <c r="B103">
        <v>2012</v>
      </c>
      <c r="C103" t="s">
        <v>20</v>
      </c>
      <c r="D103">
        <v>6</v>
      </c>
      <c r="E103">
        <v>19180</v>
      </c>
      <c r="F103">
        <v>12726</v>
      </c>
      <c r="G103">
        <v>6454</v>
      </c>
      <c r="H103">
        <v>7531</v>
      </c>
      <c r="I103">
        <v>5070</v>
      </c>
      <c r="J103">
        <v>2461</v>
      </c>
      <c r="K103">
        <v>3.1748538011695899</v>
      </c>
      <c r="L103">
        <v>2.5100591715976299</v>
      </c>
      <c r="M103">
        <v>2.6225111743193801</v>
      </c>
      <c r="Q103">
        <v>43960</v>
      </c>
      <c r="R103">
        <v>8404</v>
      </c>
      <c r="S103">
        <v>19.1173794358508</v>
      </c>
      <c r="T103">
        <v>136540</v>
      </c>
      <c r="U103">
        <v>19180</v>
      </c>
      <c r="V103">
        <v>14.047165665739</v>
      </c>
      <c r="AF103">
        <v>37</v>
      </c>
      <c r="AG103">
        <v>36060</v>
      </c>
      <c r="AH103">
        <v>89040</v>
      </c>
      <c r="AI103">
        <v>53</v>
      </c>
      <c r="AJ103">
        <v>7900</v>
      </c>
      <c r="AK103">
        <v>47500</v>
      </c>
      <c r="AL103">
        <v>90</v>
      </c>
      <c r="AM103">
        <v>43960</v>
      </c>
      <c r="AN103">
        <v>136540</v>
      </c>
    </row>
    <row r="104" spans="1:40" x14ac:dyDescent="0.3">
      <c r="A104" s="1">
        <v>41091</v>
      </c>
      <c r="B104">
        <v>2012</v>
      </c>
      <c r="C104" t="s">
        <v>21</v>
      </c>
      <c r="D104">
        <v>7</v>
      </c>
      <c r="E104">
        <v>57129</v>
      </c>
      <c r="F104">
        <v>31302</v>
      </c>
      <c r="G104">
        <v>25827</v>
      </c>
      <c r="H104">
        <v>17527</v>
      </c>
      <c r="I104">
        <v>11015</v>
      </c>
      <c r="J104">
        <v>6512</v>
      </c>
      <c r="K104">
        <v>3.64263846367938</v>
      </c>
      <c r="L104">
        <v>2.8417612346799799</v>
      </c>
      <c r="M104">
        <v>3.9660626535626502</v>
      </c>
      <c r="Q104">
        <v>49755</v>
      </c>
      <c r="R104">
        <v>23276</v>
      </c>
      <c r="S104">
        <v>46.781228017284697</v>
      </c>
      <c r="T104">
        <v>154597</v>
      </c>
      <c r="U104">
        <v>57129</v>
      </c>
      <c r="V104">
        <v>36.953498450810798</v>
      </c>
      <c r="AF104">
        <v>43</v>
      </c>
      <c r="AG104">
        <v>41199</v>
      </c>
      <c r="AH104">
        <v>105431</v>
      </c>
      <c r="AI104">
        <v>53</v>
      </c>
      <c r="AJ104">
        <v>8556</v>
      </c>
      <c r="AK104">
        <v>49166</v>
      </c>
      <c r="AL104">
        <v>96</v>
      </c>
      <c r="AM104">
        <v>49755</v>
      </c>
      <c r="AN104">
        <v>154597</v>
      </c>
    </row>
    <row r="105" spans="1:40" x14ac:dyDescent="0.3">
      <c r="A105" s="1">
        <v>41122</v>
      </c>
      <c r="B105">
        <v>2012</v>
      </c>
      <c r="C105" t="s">
        <v>22</v>
      </c>
      <c r="D105">
        <v>8</v>
      </c>
      <c r="E105">
        <v>52135</v>
      </c>
      <c r="F105">
        <v>33497</v>
      </c>
      <c r="G105">
        <v>18638</v>
      </c>
      <c r="H105">
        <v>16914</v>
      </c>
      <c r="I105">
        <v>11148</v>
      </c>
      <c r="J105">
        <v>5766</v>
      </c>
      <c r="K105">
        <v>3.6918665276329499</v>
      </c>
      <c r="L105">
        <v>3.00475421600287</v>
      </c>
      <c r="M105">
        <v>3.2323968088796402</v>
      </c>
      <c r="Q105">
        <v>50654</v>
      </c>
      <c r="R105">
        <v>21963</v>
      </c>
      <c r="S105">
        <v>43.358866032297598</v>
      </c>
      <c r="T105">
        <v>154721</v>
      </c>
      <c r="U105">
        <v>52135</v>
      </c>
      <c r="V105">
        <v>33.696136917419103</v>
      </c>
      <c r="AF105">
        <v>43</v>
      </c>
      <c r="AG105">
        <v>42253</v>
      </c>
      <c r="AH105">
        <v>105400</v>
      </c>
      <c r="AI105">
        <v>53</v>
      </c>
      <c r="AJ105">
        <v>8401</v>
      </c>
      <c r="AK105">
        <v>49321</v>
      </c>
      <c r="AL105">
        <v>96</v>
      </c>
      <c r="AM105">
        <v>50654</v>
      </c>
      <c r="AN105">
        <v>154721</v>
      </c>
    </row>
    <row r="106" spans="1:40" x14ac:dyDescent="0.3">
      <c r="A106" s="1">
        <v>41153</v>
      </c>
      <c r="B106">
        <v>2012</v>
      </c>
      <c r="C106" t="s">
        <v>23</v>
      </c>
      <c r="D106">
        <v>9</v>
      </c>
      <c r="E106">
        <v>59096</v>
      </c>
      <c r="F106">
        <v>43095</v>
      </c>
      <c r="G106">
        <v>16001</v>
      </c>
      <c r="H106">
        <v>19193</v>
      </c>
      <c r="I106">
        <v>14143</v>
      </c>
      <c r="J106">
        <v>5050</v>
      </c>
      <c r="K106">
        <v>3.4434711196276999</v>
      </c>
      <c r="L106">
        <v>3.04709043342997</v>
      </c>
      <c r="M106">
        <v>3.16851485148515</v>
      </c>
      <c r="Q106">
        <v>47700</v>
      </c>
      <c r="R106">
        <v>24854</v>
      </c>
      <c r="S106">
        <v>52.104821802935</v>
      </c>
      <c r="T106">
        <v>146040</v>
      </c>
      <c r="U106">
        <v>59096</v>
      </c>
      <c r="V106">
        <v>40.4656258559299</v>
      </c>
      <c r="AF106">
        <v>40</v>
      </c>
      <c r="AG106">
        <v>39570</v>
      </c>
      <c r="AH106">
        <v>98310</v>
      </c>
      <c r="AI106">
        <v>53</v>
      </c>
      <c r="AJ106">
        <v>8130</v>
      </c>
      <c r="AK106">
        <v>47730</v>
      </c>
      <c r="AL106">
        <v>93</v>
      </c>
      <c r="AM106">
        <v>47700</v>
      </c>
      <c r="AN106">
        <v>146040</v>
      </c>
    </row>
    <row r="107" spans="1:40" x14ac:dyDescent="0.3">
      <c r="A107" s="1">
        <v>41183</v>
      </c>
      <c r="B107">
        <v>2012</v>
      </c>
      <c r="C107" t="s">
        <v>24</v>
      </c>
      <c r="D107">
        <v>10</v>
      </c>
      <c r="E107">
        <v>45302</v>
      </c>
      <c r="F107">
        <v>29246</v>
      </c>
      <c r="G107">
        <v>16056</v>
      </c>
      <c r="H107">
        <v>17025</v>
      </c>
      <c r="I107">
        <v>11046</v>
      </c>
      <c r="J107">
        <v>5979</v>
      </c>
      <c r="K107">
        <v>2.8765374796936598</v>
      </c>
      <c r="L107">
        <v>2.6476552598225598</v>
      </c>
      <c r="M107">
        <v>2.6853988961364799</v>
      </c>
      <c r="Q107">
        <v>46376</v>
      </c>
      <c r="R107">
        <v>19182</v>
      </c>
      <c r="S107">
        <v>41.361911333448298</v>
      </c>
      <c r="T107">
        <v>149203</v>
      </c>
      <c r="U107">
        <v>45302</v>
      </c>
      <c r="V107">
        <v>30.362660268225198</v>
      </c>
      <c r="AF107">
        <v>42</v>
      </c>
      <c r="AG107">
        <v>38223</v>
      </c>
      <c r="AH107">
        <v>96627</v>
      </c>
      <c r="AI107">
        <v>55</v>
      </c>
      <c r="AJ107">
        <v>8153</v>
      </c>
      <c r="AK107">
        <v>52576</v>
      </c>
      <c r="AL107">
        <v>97</v>
      </c>
      <c r="AM107">
        <v>46376</v>
      </c>
      <c r="AN107">
        <v>149203</v>
      </c>
    </row>
    <row r="108" spans="1:40" x14ac:dyDescent="0.3">
      <c r="A108" s="1">
        <v>41214</v>
      </c>
      <c r="B108">
        <v>2012</v>
      </c>
      <c r="C108" t="s">
        <v>25</v>
      </c>
      <c r="D108">
        <v>11</v>
      </c>
      <c r="E108">
        <v>60306</v>
      </c>
      <c r="F108">
        <v>27504</v>
      </c>
      <c r="G108">
        <v>32802</v>
      </c>
      <c r="H108">
        <v>25355</v>
      </c>
      <c r="I108">
        <v>10653</v>
      </c>
      <c r="J108">
        <v>14702</v>
      </c>
      <c r="K108">
        <v>2.5162216480045898</v>
      </c>
      <c r="L108">
        <v>2.58180794142495</v>
      </c>
      <c r="M108">
        <v>2.2311250170044898</v>
      </c>
      <c r="Q108">
        <v>45870</v>
      </c>
      <c r="R108">
        <v>25620</v>
      </c>
      <c r="S108">
        <v>55.853499018966602</v>
      </c>
      <c r="T108">
        <v>146220</v>
      </c>
      <c r="U108">
        <v>60306</v>
      </c>
      <c r="V108">
        <v>41.243331965531397</v>
      </c>
      <c r="AF108">
        <v>42</v>
      </c>
      <c r="AG108">
        <v>36840</v>
      </c>
      <c r="AH108">
        <v>93810</v>
      </c>
      <c r="AI108">
        <v>62</v>
      </c>
      <c r="AJ108">
        <v>9030</v>
      </c>
      <c r="AK108">
        <v>52410</v>
      </c>
      <c r="AL108">
        <v>104</v>
      </c>
      <c r="AM108">
        <v>45870</v>
      </c>
      <c r="AN108">
        <v>146220</v>
      </c>
    </row>
    <row r="109" spans="1:40" x14ac:dyDescent="0.3">
      <c r="A109" s="1">
        <v>41244</v>
      </c>
      <c r="B109">
        <v>2012</v>
      </c>
      <c r="C109" t="s">
        <v>26</v>
      </c>
      <c r="D109">
        <v>12</v>
      </c>
      <c r="E109">
        <v>55349</v>
      </c>
      <c r="F109">
        <v>24245</v>
      </c>
      <c r="G109">
        <v>31104</v>
      </c>
      <c r="H109">
        <v>24872</v>
      </c>
      <c r="I109">
        <v>10661</v>
      </c>
      <c r="J109">
        <v>14211</v>
      </c>
      <c r="K109">
        <v>2.4310104529616701</v>
      </c>
      <c r="L109">
        <v>2.27417690648157</v>
      </c>
      <c r="M109">
        <v>2.1887270424319198</v>
      </c>
      <c r="Q109">
        <v>46500</v>
      </c>
      <c r="R109">
        <v>21293</v>
      </c>
      <c r="S109">
        <v>45.791397849462399</v>
      </c>
      <c r="T109">
        <v>149978</v>
      </c>
      <c r="U109">
        <v>55349</v>
      </c>
      <c r="V109">
        <v>36.904746029417602</v>
      </c>
      <c r="AF109">
        <v>42</v>
      </c>
      <c r="AG109">
        <v>37262</v>
      </c>
      <c r="AH109">
        <v>96720</v>
      </c>
      <c r="AI109">
        <v>62</v>
      </c>
      <c r="AJ109">
        <v>9238</v>
      </c>
      <c r="AK109">
        <v>53258</v>
      </c>
      <c r="AL109">
        <v>104</v>
      </c>
      <c r="AM109">
        <v>46500</v>
      </c>
      <c r="AN109">
        <v>149978</v>
      </c>
    </row>
    <row r="110" spans="1:40" x14ac:dyDescent="0.3">
      <c r="A110" s="1">
        <v>41275</v>
      </c>
      <c r="B110">
        <v>2013</v>
      </c>
      <c r="C110" t="s">
        <v>15</v>
      </c>
      <c r="D110">
        <v>1</v>
      </c>
      <c r="E110">
        <v>97622</v>
      </c>
      <c r="F110">
        <v>53127</v>
      </c>
      <c r="G110">
        <v>44495</v>
      </c>
      <c r="H110">
        <v>38942</v>
      </c>
      <c r="I110">
        <v>19767</v>
      </c>
      <c r="J110">
        <v>19175</v>
      </c>
      <c r="K110">
        <v>2.5068563504699299</v>
      </c>
      <c r="L110">
        <v>2.6876612536044902</v>
      </c>
      <c r="M110">
        <v>2.3204693611473299</v>
      </c>
      <c r="Q110">
        <v>53630</v>
      </c>
      <c r="R110">
        <v>41620</v>
      </c>
      <c r="S110">
        <v>77.605817639380902</v>
      </c>
      <c r="T110">
        <v>156333</v>
      </c>
      <c r="U110">
        <v>97622</v>
      </c>
      <c r="V110">
        <v>62.444909264198898</v>
      </c>
      <c r="AF110">
        <v>40</v>
      </c>
      <c r="AG110">
        <v>39618</v>
      </c>
      <c r="AH110">
        <v>97526</v>
      </c>
      <c r="AI110">
        <v>77</v>
      </c>
      <c r="AJ110">
        <v>14012</v>
      </c>
      <c r="AK110">
        <v>58807</v>
      </c>
      <c r="AL110">
        <v>117</v>
      </c>
      <c r="AM110">
        <v>53630</v>
      </c>
      <c r="AN110">
        <v>156333</v>
      </c>
    </row>
    <row r="111" spans="1:40" x14ac:dyDescent="0.3">
      <c r="A111" s="1">
        <v>41306</v>
      </c>
      <c r="B111">
        <v>2013</v>
      </c>
      <c r="C111" t="s">
        <v>16</v>
      </c>
      <c r="D111">
        <v>2</v>
      </c>
      <c r="E111">
        <v>73583</v>
      </c>
      <c r="F111">
        <v>36583</v>
      </c>
      <c r="G111">
        <v>37000</v>
      </c>
      <c r="H111">
        <v>30488</v>
      </c>
      <c r="I111">
        <v>14544</v>
      </c>
      <c r="J111">
        <v>15944</v>
      </c>
      <c r="K111">
        <v>2.4135069535554998</v>
      </c>
      <c r="L111">
        <v>2.5153327832783301</v>
      </c>
      <c r="M111">
        <v>2.3206221776216802</v>
      </c>
      <c r="Q111">
        <v>47828</v>
      </c>
      <c r="R111">
        <v>32564</v>
      </c>
      <c r="S111">
        <v>68.085640210755201</v>
      </c>
      <c r="T111">
        <v>139444</v>
      </c>
      <c r="U111">
        <v>73583</v>
      </c>
      <c r="V111">
        <v>52.768853446544902</v>
      </c>
      <c r="AF111">
        <v>40</v>
      </c>
      <c r="AG111">
        <v>35700</v>
      </c>
      <c r="AH111">
        <v>87528</v>
      </c>
      <c r="AI111">
        <v>77</v>
      </c>
      <c r="AJ111">
        <v>12128</v>
      </c>
      <c r="AK111">
        <v>51916</v>
      </c>
      <c r="AL111">
        <v>117</v>
      </c>
      <c r="AM111">
        <v>47828</v>
      </c>
      <c r="AN111">
        <v>139444</v>
      </c>
    </row>
    <row r="112" spans="1:40" x14ac:dyDescent="0.3">
      <c r="A112" s="1">
        <v>41334</v>
      </c>
      <c r="B112">
        <v>2013</v>
      </c>
      <c r="C112" t="s">
        <v>17</v>
      </c>
      <c r="D112">
        <v>3</v>
      </c>
      <c r="E112">
        <v>60007</v>
      </c>
      <c r="F112">
        <v>33868</v>
      </c>
      <c r="G112">
        <v>26139</v>
      </c>
      <c r="H112">
        <v>25215</v>
      </c>
      <c r="I112">
        <v>14359</v>
      </c>
      <c r="J112">
        <v>10856</v>
      </c>
      <c r="K112">
        <v>2.37981360301408</v>
      </c>
      <c r="L112">
        <v>2.3586600738213002</v>
      </c>
      <c r="M112">
        <v>2.4077929255711101</v>
      </c>
      <c r="Q112">
        <v>52188</v>
      </c>
      <c r="R112">
        <v>26249</v>
      </c>
      <c r="S112">
        <v>50.297003142484897</v>
      </c>
      <c r="T112">
        <v>153216</v>
      </c>
      <c r="U112">
        <v>60007</v>
      </c>
      <c r="V112">
        <v>39.164969715956602</v>
      </c>
      <c r="AF112">
        <v>40</v>
      </c>
      <c r="AG112">
        <v>39215</v>
      </c>
      <c r="AH112">
        <v>96875</v>
      </c>
      <c r="AI112">
        <v>77</v>
      </c>
      <c r="AJ112">
        <v>12973</v>
      </c>
      <c r="AK112">
        <v>56341</v>
      </c>
      <c r="AL112">
        <v>117</v>
      </c>
      <c r="AM112">
        <v>52188</v>
      </c>
      <c r="AN112">
        <v>153216</v>
      </c>
    </row>
    <row r="113" spans="1:40" x14ac:dyDescent="0.3">
      <c r="A113" s="1">
        <v>41365</v>
      </c>
      <c r="B113">
        <v>2013</v>
      </c>
      <c r="C113" t="s">
        <v>18</v>
      </c>
      <c r="D113">
        <v>4</v>
      </c>
      <c r="E113">
        <v>37770</v>
      </c>
      <c r="F113">
        <v>26517</v>
      </c>
      <c r="G113">
        <v>11253</v>
      </c>
      <c r="H113">
        <v>14705</v>
      </c>
      <c r="I113">
        <v>10316</v>
      </c>
      <c r="J113">
        <v>4389</v>
      </c>
      <c r="K113">
        <v>2.56851411084665</v>
      </c>
      <c r="L113">
        <v>2.5704730515703802</v>
      </c>
      <c r="M113">
        <v>2.5639097744360901</v>
      </c>
      <c r="Q113">
        <v>48032</v>
      </c>
      <c r="R113">
        <v>18247</v>
      </c>
      <c r="S113">
        <v>37.989257161892098</v>
      </c>
      <c r="T113">
        <v>138583</v>
      </c>
      <c r="U113">
        <v>37770</v>
      </c>
      <c r="V113">
        <v>27.254425145941401</v>
      </c>
      <c r="AF113">
        <v>38</v>
      </c>
      <c r="AG113">
        <v>36644</v>
      </c>
      <c r="AH113">
        <v>89786</v>
      </c>
      <c r="AI113">
        <v>65</v>
      </c>
      <c r="AJ113">
        <v>11388</v>
      </c>
      <c r="AK113">
        <v>48797</v>
      </c>
      <c r="AL113">
        <v>103</v>
      </c>
      <c r="AM113">
        <v>48032</v>
      </c>
      <c r="AN113">
        <v>138583</v>
      </c>
    </row>
    <row r="114" spans="1:40" x14ac:dyDescent="0.3">
      <c r="A114" s="1">
        <v>41395</v>
      </c>
      <c r="B114">
        <v>2013</v>
      </c>
      <c r="C114" t="s">
        <v>19</v>
      </c>
      <c r="D114">
        <v>5</v>
      </c>
      <c r="E114">
        <v>25201</v>
      </c>
      <c r="F114">
        <v>17545</v>
      </c>
      <c r="G114">
        <v>7656</v>
      </c>
      <c r="H114">
        <v>9867</v>
      </c>
      <c r="I114">
        <v>7129</v>
      </c>
      <c r="J114">
        <v>2738</v>
      </c>
      <c r="K114">
        <v>2.5540691192865101</v>
      </c>
      <c r="L114">
        <v>2.4610744844999299</v>
      </c>
      <c r="M114">
        <v>2.7962016070124198</v>
      </c>
      <c r="Q114">
        <v>42353</v>
      </c>
      <c r="R114">
        <v>13249</v>
      </c>
      <c r="S114">
        <v>31.282317663447699</v>
      </c>
      <c r="T114">
        <v>116900</v>
      </c>
      <c r="U114">
        <v>25201</v>
      </c>
      <c r="V114">
        <v>21.557741659538099</v>
      </c>
      <c r="AF114">
        <v>35</v>
      </c>
      <c r="AG114">
        <v>32739</v>
      </c>
      <c r="AH114">
        <v>80879</v>
      </c>
      <c r="AI114">
        <v>50</v>
      </c>
      <c r="AJ114">
        <v>9614</v>
      </c>
      <c r="AK114">
        <v>36021</v>
      </c>
      <c r="AL114">
        <v>85</v>
      </c>
      <c r="AM114">
        <v>42353</v>
      </c>
      <c r="AN114">
        <v>116900</v>
      </c>
    </row>
    <row r="115" spans="1:40" x14ac:dyDescent="0.3">
      <c r="A115" s="1">
        <v>41426</v>
      </c>
      <c r="B115">
        <v>2013</v>
      </c>
      <c r="C115" t="s">
        <v>20</v>
      </c>
      <c r="D115">
        <v>6</v>
      </c>
      <c r="E115">
        <v>30843</v>
      </c>
      <c r="F115">
        <v>22425</v>
      </c>
      <c r="G115">
        <v>8418</v>
      </c>
      <c r="H115">
        <v>11348</v>
      </c>
      <c r="I115">
        <v>8711</v>
      </c>
      <c r="J115">
        <v>2637</v>
      </c>
      <c r="K115">
        <v>2.7179238632358098</v>
      </c>
      <c r="L115">
        <v>2.5743313052462402</v>
      </c>
      <c r="M115">
        <v>3.1922639362912402</v>
      </c>
      <c r="Q115">
        <v>41882</v>
      </c>
      <c r="R115">
        <v>14682</v>
      </c>
      <c r="S115">
        <v>35.055632491285003</v>
      </c>
      <c r="T115">
        <v>118186</v>
      </c>
      <c r="U115">
        <v>30843</v>
      </c>
      <c r="V115">
        <v>26.096999644627999</v>
      </c>
      <c r="AF115">
        <v>33</v>
      </c>
      <c r="AG115">
        <v>32560</v>
      </c>
      <c r="AH115">
        <v>80290</v>
      </c>
      <c r="AI115">
        <v>53</v>
      </c>
      <c r="AJ115">
        <v>9322</v>
      </c>
      <c r="AK115">
        <v>37896</v>
      </c>
      <c r="AL115">
        <v>86</v>
      </c>
      <c r="AM115">
        <v>41882</v>
      </c>
      <c r="AN115">
        <v>118186</v>
      </c>
    </row>
    <row r="116" spans="1:40" x14ac:dyDescent="0.3">
      <c r="A116" s="1">
        <v>41456</v>
      </c>
      <c r="B116">
        <v>2013</v>
      </c>
      <c r="C116" t="s">
        <v>21</v>
      </c>
      <c r="D116">
        <v>7</v>
      </c>
      <c r="E116">
        <v>71871</v>
      </c>
      <c r="F116">
        <v>43571</v>
      </c>
      <c r="G116">
        <v>28300</v>
      </c>
      <c r="H116">
        <v>20974</v>
      </c>
      <c r="I116">
        <v>13426</v>
      </c>
      <c r="J116">
        <v>7548</v>
      </c>
      <c r="K116">
        <v>3.4266711166205801</v>
      </c>
      <c r="L116">
        <v>3.24527037092209</v>
      </c>
      <c r="M116">
        <v>3.7493375728669802</v>
      </c>
      <c r="Q116">
        <v>49910</v>
      </c>
      <c r="R116">
        <v>31441</v>
      </c>
      <c r="S116">
        <v>62.995391705069103</v>
      </c>
      <c r="T116">
        <v>140988</v>
      </c>
      <c r="U116">
        <v>71871</v>
      </c>
      <c r="V116">
        <v>50.976678866286498</v>
      </c>
      <c r="AF116">
        <v>38</v>
      </c>
      <c r="AG116">
        <v>37975</v>
      </c>
      <c r="AH116">
        <v>93744</v>
      </c>
      <c r="AI116">
        <v>62</v>
      </c>
      <c r="AJ116">
        <v>11935</v>
      </c>
      <c r="AK116">
        <v>47244</v>
      </c>
      <c r="AL116">
        <v>100</v>
      </c>
      <c r="AM116">
        <v>49910</v>
      </c>
      <c r="AN116">
        <v>140988</v>
      </c>
    </row>
    <row r="117" spans="1:40" x14ac:dyDescent="0.3">
      <c r="A117" s="1">
        <v>41487</v>
      </c>
      <c r="B117">
        <v>2013</v>
      </c>
      <c r="C117" t="s">
        <v>22</v>
      </c>
      <c r="D117">
        <v>8</v>
      </c>
      <c r="E117">
        <v>69677</v>
      </c>
      <c r="F117">
        <v>45175</v>
      </c>
      <c r="G117">
        <v>24502</v>
      </c>
      <c r="H117">
        <v>21650</v>
      </c>
      <c r="I117">
        <v>14629</v>
      </c>
      <c r="J117">
        <v>7021</v>
      </c>
      <c r="K117">
        <v>3.2183371824480398</v>
      </c>
      <c r="L117">
        <v>3.08804429557728</v>
      </c>
      <c r="M117">
        <v>3.4898162654892499</v>
      </c>
      <c r="Q117">
        <v>50189</v>
      </c>
      <c r="R117">
        <v>30928</v>
      </c>
      <c r="S117">
        <v>61.623064814999303</v>
      </c>
      <c r="T117">
        <v>141360</v>
      </c>
      <c r="U117">
        <v>69677</v>
      </c>
      <c r="V117">
        <v>49.290464063384299</v>
      </c>
      <c r="AF117">
        <v>38</v>
      </c>
      <c r="AG117">
        <v>37913</v>
      </c>
      <c r="AH117">
        <v>93651</v>
      </c>
      <c r="AI117">
        <v>62</v>
      </c>
      <c r="AJ117">
        <v>12276</v>
      </c>
      <c r="AK117">
        <v>47709</v>
      </c>
      <c r="AL117">
        <v>100</v>
      </c>
      <c r="AM117">
        <v>50189</v>
      </c>
      <c r="AN117">
        <v>141360</v>
      </c>
    </row>
    <row r="118" spans="1:40" x14ac:dyDescent="0.3">
      <c r="A118" s="1">
        <v>41518</v>
      </c>
      <c r="B118">
        <v>2013</v>
      </c>
      <c r="C118" t="s">
        <v>23</v>
      </c>
      <c r="D118">
        <v>9</v>
      </c>
      <c r="E118">
        <v>70404</v>
      </c>
      <c r="F118">
        <v>49492</v>
      </c>
      <c r="G118">
        <v>20912</v>
      </c>
      <c r="H118">
        <v>21756</v>
      </c>
      <c r="I118">
        <v>15535</v>
      </c>
      <c r="J118">
        <v>6221</v>
      </c>
      <c r="K118">
        <v>3.23607280750138</v>
      </c>
      <c r="L118">
        <v>3.1858384293530699</v>
      </c>
      <c r="M118">
        <v>3.3615174409258999</v>
      </c>
      <c r="Q118">
        <v>49574</v>
      </c>
      <c r="R118">
        <v>31533</v>
      </c>
      <c r="S118">
        <v>63.607939645782103</v>
      </c>
      <c r="T118">
        <v>139992</v>
      </c>
      <c r="U118">
        <v>70404</v>
      </c>
      <c r="V118">
        <v>50.2914452254415</v>
      </c>
      <c r="AF118">
        <v>39</v>
      </c>
      <c r="AG118">
        <v>37550</v>
      </c>
      <c r="AH118">
        <v>92730</v>
      </c>
      <c r="AI118">
        <v>65</v>
      </c>
      <c r="AJ118">
        <v>12024</v>
      </c>
      <c r="AK118">
        <v>47262</v>
      </c>
      <c r="AL118">
        <v>104</v>
      </c>
      <c r="AM118">
        <v>49574</v>
      </c>
      <c r="AN118">
        <v>139992</v>
      </c>
    </row>
    <row r="119" spans="1:40" x14ac:dyDescent="0.3">
      <c r="A119" s="1">
        <v>41548</v>
      </c>
      <c r="B119">
        <v>2013</v>
      </c>
      <c r="C119" t="s">
        <v>24</v>
      </c>
      <c r="D119">
        <v>10</v>
      </c>
      <c r="E119">
        <v>53094</v>
      </c>
      <c r="F119">
        <v>33939</v>
      </c>
      <c r="G119">
        <v>19155</v>
      </c>
      <c r="H119">
        <v>22016</v>
      </c>
      <c r="I119">
        <v>13875</v>
      </c>
      <c r="J119">
        <v>8141</v>
      </c>
      <c r="K119">
        <v>2.41160973837209</v>
      </c>
      <c r="L119">
        <v>2.4460540540540499</v>
      </c>
      <c r="M119">
        <v>2.3529050485198399</v>
      </c>
      <c r="Q119">
        <v>51204</v>
      </c>
      <c r="R119">
        <v>24426</v>
      </c>
      <c r="S119">
        <v>47.7033044293415</v>
      </c>
      <c r="T119">
        <v>146261</v>
      </c>
      <c r="U119">
        <v>53094</v>
      </c>
      <c r="V119">
        <v>36.300859422539197</v>
      </c>
      <c r="AF119">
        <v>39</v>
      </c>
      <c r="AG119">
        <v>38265</v>
      </c>
      <c r="AH119">
        <v>94767</v>
      </c>
      <c r="AI119">
        <v>69</v>
      </c>
      <c r="AJ119">
        <v>12939</v>
      </c>
      <c r="AK119">
        <v>51494</v>
      </c>
      <c r="AL119">
        <v>108</v>
      </c>
      <c r="AM119">
        <v>51204</v>
      </c>
      <c r="AN119">
        <v>146261</v>
      </c>
    </row>
    <row r="120" spans="1:40" x14ac:dyDescent="0.3">
      <c r="A120" s="1">
        <v>41579</v>
      </c>
      <c r="B120">
        <v>2013</v>
      </c>
      <c r="C120" t="s">
        <v>25</v>
      </c>
      <c r="D120">
        <v>11</v>
      </c>
      <c r="E120">
        <v>71968</v>
      </c>
      <c r="F120">
        <v>36817</v>
      </c>
      <c r="G120">
        <v>35151</v>
      </c>
      <c r="H120">
        <v>31119</v>
      </c>
      <c r="I120">
        <v>15512</v>
      </c>
      <c r="J120">
        <v>15607</v>
      </c>
      <c r="K120">
        <v>2.31267071563996</v>
      </c>
      <c r="L120">
        <v>2.37345281072718</v>
      </c>
      <c r="M120">
        <v>2.2522586019094</v>
      </c>
      <c r="Q120">
        <v>49780</v>
      </c>
      <c r="R120">
        <v>33310</v>
      </c>
      <c r="S120">
        <v>66.914423463238293</v>
      </c>
      <c r="T120">
        <v>142930</v>
      </c>
      <c r="U120">
        <v>71968</v>
      </c>
      <c r="V120">
        <v>50.351920520534499</v>
      </c>
      <c r="AF120">
        <v>39</v>
      </c>
      <c r="AG120">
        <v>36610</v>
      </c>
      <c r="AH120">
        <v>90430</v>
      </c>
      <c r="AI120">
        <v>74</v>
      </c>
      <c r="AJ120">
        <v>13170</v>
      </c>
      <c r="AK120">
        <v>52500</v>
      </c>
      <c r="AL120">
        <v>113</v>
      </c>
      <c r="AM120">
        <v>49780</v>
      </c>
      <c r="AN120">
        <v>142930</v>
      </c>
    </row>
    <row r="121" spans="1:40" x14ac:dyDescent="0.3">
      <c r="A121" s="1">
        <v>41609</v>
      </c>
      <c r="B121">
        <v>2013</v>
      </c>
      <c r="C121" t="s">
        <v>26</v>
      </c>
      <c r="D121">
        <v>12</v>
      </c>
      <c r="E121">
        <v>67058</v>
      </c>
      <c r="F121">
        <v>28038</v>
      </c>
      <c r="G121">
        <v>39020</v>
      </c>
      <c r="H121">
        <v>27851</v>
      </c>
      <c r="I121">
        <v>11111</v>
      </c>
      <c r="J121">
        <v>16740</v>
      </c>
      <c r="K121">
        <v>2.4077411942120599</v>
      </c>
      <c r="L121">
        <v>2.5234452344523399</v>
      </c>
      <c r="M121">
        <v>2.3309438470728798</v>
      </c>
      <c r="Q121">
        <v>52460</v>
      </c>
      <c r="R121">
        <v>29586</v>
      </c>
      <c r="S121">
        <v>56.397255051467802</v>
      </c>
      <c r="T121">
        <v>149295</v>
      </c>
      <c r="U121">
        <v>67058</v>
      </c>
      <c r="V121">
        <v>44.916440604172998</v>
      </c>
      <c r="AF121">
        <v>39</v>
      </c>
      <c r="AG121">
        <v>37623</v>
      </c>
      <c r="AH121">
        <v>93651</v>
      </c>
      <c r="AI121">
        <v>74</v>
      </c>
      <c r="AJ121">
        <v>14837</v>
      </c>
      <c r="AK121">
        <v>55644</v>
      </c>
      <c r="AL121">
        <v>113</v>
      </c>
      <c r="AM121">
        <v>52460</v>
      </c>
      <c r="AN121">
        <v>149295</v>
      </c>
    </row>
    <row r="122" spans="1:40" x14ac:dyDescent="0.3">
      <c r="A122" s="1">
        <v>41640</v>
      </c>
      <c r="B122">
        <v>2014</v>
      </c>
      <c r="C122" t="s">
        <v>15</v>
      </c>
      <c r="D122">
        <v>1</v>
      </c>
      <c r="E122">
        <v>96650</v>
      </c>
      <c r="F122">
        <v>52141</v>
      </c>
      <c r="G122">
        <v>44509</v>
      </c>
      <c r="H122">
        <v>39203</v>
      </c>
      <c r="I122">
        <v>19800</v>
      </c>
      <c r="J122">
        <v>19403</v>
      </c>
      <c r="K122">
        <v>2.4653725480192801</v>
      </c>
      <c r="L122">
        <v>2.6333838383838399</v>
      </c>
      <c r="M122">
        <v>2.2939236200587501</v>
      </c>
      <c r="Q122">
        <v>49507</v>
      </c>
      <c r="R122">
        <v>40490</v>
      </c>
      <c r="S122">
        <v>81.786414042458702</v>
      </c>
      <c r="T122">
        <v>141949</v>
      </c>
      <c r="U122">
        <v>96650</v>
      </c>
      <c r="V122">
        <v>68.0878343630459</v>
      </c>
      <c r="AF122">
        <v>38</v>
      </c>
      <c r="AG122">
        <v>36425</v>
      </c>
      <c r="AH122">
        <v>90117</v>
      </c>
      <c r="AI122">
        <v>73</v>
      </c>
      <c r="AJ122">
        <v>13082</v>
      </c>
      <c r="AK122">
        <v>51832</v>
      </c>
      <c r="AL122">
        <v>111</v>
      </c>
      <c r="AM122">
        <v>49507</v>
      </c>
      <c r="AN122">
        <v>141949</v>
      </c>
    </row>
    <row r="123" spans="1:40" x14ac:dyDescent="0.3">
      <c r="A123" s="1">
        <v>41671</v>
      </c>
      <c r="B123">
        <v>2014</v>
      </c>
      <c r="C123" t="s">
        <v>16</v>
      </c>
      <c r="D123">
        <v>2</v>
      </c>
      <c r="E123">
        <v>74475</v>
      </c>
      <c r="F123">
        <v>39562</v>
      </c>
      <c r="G123">
        <v>34913</v>
      </c>
      <c r="H123">
        <v>31734</v>
      </c>
      <c r="I123">
        <v>15926</v>
      </c>
      <c r="J123">
        <v>15808</v>
      </c>
      <c r="K123">
        <v>2.3468519568916602</v>
      </c>
      <c r="L123">
        <v>2.48411402737662</v>
      </c>
      <c r="M123">
        <v>2.20856528340081</v>
      </c>
      <c r="Q123">
        <v>44156</v>
      </c>
      <c r="R123">
        <v>32408</v>
      </c>
      <c r="S123">
        <v>73.394329196485202</v>
      </c>
      <c r="T123">
        <v>124628</v>
      </c>
      <c r="U123">
        <v>74475</v>
      </c>
      <c r="V123">
        <v>59.757839329845602</v>
      </c>
      <c r="AF123">
        <v>38</v>
      </c>
      <c r="AG123">
        <v>33124</v>
      </c>
      <c r="AH123">
        <v>79576</v>
      </c>
      <c r="AI123">
        <v>71</v>
      </c>
      <c r="AJ123">
        <v>11032</v>
      </c>
      <c r="AK123">
        <v>45052</v>
      </c>
      <c r="AL123">
        <v>109</v>
      </c>
      <c r="AM123">
        <v>44156</v>
      </c>
      <c r="AN123">
        <v>124628</v>
      </c>
    </row>
    <row r="124" spans="1:40" x14ac:dyDescent="0.3">
      <c r="A124" s="1">
        <v>41699</v>
      </c>
      <c r="B124">
        <v>2014</v>
      </c>
      <c r="C124" t="s">
        <v>17</v>
      </c>
      <c r="D124">
        <v>3</v>
      </c>
      <c r="E124">
        <v>63161</v>
      </c>
      <c r="F124">
        <v>32524</v>
      </c>
      <c r="G124">
        <v>30637</v>
      </c>
      <c r="H124">
        <v>26333</v>
      </c>
      <c r="I124">
        <v>13396</v>
      </c>
      <c r="J124">
        <v>12937</v>
      </c>
      <c r="K124">
        <v>2.39854934872593</v>
      </c>
      <c r="L124">
        <v>2.4278889220662898</v>
      </c>
      <c r="M124">
        <v>2.3681688181185701</v>
      </c>
      <c r="Q124">
        <v>48484</v>
      </c>
      <c r="R124">
        <v>28418</v>
      </c>
      <c r="S124">
        <v>58.613150730137797</v>
      </c>
      <c r="T124">
        <v>138012</v>
      </c>
      <c r="U124">
        <v>63161</v>
      </c>
      <c r="V124">
        <v>45.7648610265774</v>
      </c>
      <c r="AF124">
        <v>38</v>
      </c>
      <c r="AG124">
        <v>36611</v>
      </c>
      <c r="AH124">
        <v>90458</v>
      </c>
      <c r="AI124">
        <v>68</v>
      </c>
      <c r="AJ124">
        <v>11873</v>
      </c>
      <c r="AK124">
        <v>47554</v>
      </c>
      <c r="AL124">
        <v>106</v>
      </c>
      <c r="AM124">
        <v>48484</v>
      </c>
      <c r="AN124">
        <v>138012</v>
      </c>
    </row>
    <row r="125" spans="1:40" x14ac:dyDescent="0.3">
      <c r="A125" s="1">
        <v>41730</v>
      </c>
      <c r="B125">
        <v>2014</v>
      </c>
      <c r="C125" t="s">
        <v>18</v>
      </c>
      <c r="D125">
        <v>4</v>
      </c>
      <c r="E125">
        <v>46439</v>
      </c>
      <c r="F125">
        <v>30319</v>
      </c>
      <c r="G125">
        <v>16120</v>
      </c>
      <c r="H125">
        <v>18253</v>
      </c>
      <c r="I125">
        <v>11599</v>
      </c>
      <c r="J125">
        <v>6654</v>
      </c>
      <c r="K125">
        <v>2.5756861885717401</v>
      </c>
      <c r="L125">
        <v>2.6139322355375501</v>
      </c>
      <c r="M125">
        <v>2.5237048665620101</v>
      </c>
      <c r="Q125">
        <v>45952</v>
      </c>
      <c r="R125">
        <v>21763</v>
      </c>
      <c r="S125">
        <v>47.360288997214496</v>
      </c>
      <c r="T125">
        <v>130474</v>
      </c>
      <c r="U125">
        <v>47014</v>
      </c>
      <c r="V125">
        <v>36.033232674709097</v>
      </c>
      <c r="AF125">
        <v>38</v>
      </c>
      <c r="AG125">
        <v>35430</v>
      </c>
      <c r="AH125">
        <v>87660</v>
      </c>
      <c r="AI125">
        <v>62</v>
      </c>
      <c r="AJ125">
        <v>10522</v>
      </c>
      <c r="AK125">
        <v>42814</v>
      </c>
      <c r="AL125">
        <v>100</v>
      </c>
      <c r="AM125">
        <v>45952</v>
      </c>
      <c r="AN125">
        <v>130474</v>
      </c>
    </row>
    <row r="126" spans="1:40" x14ac:dyDescent="0.3">
      <c r="A126" s="1">
        <v>41760</v>
      </c>
      <c r="B126">
        <v>2014</v>
      </c>
      <c r="C126" t="s">
        <v>19</v>
      </c>
      <c r="D126">
        <v>5</v>
      </c>
      <c r="E126">
        <v>28212</v>
      </c>
      <c r="F126">
        <v>20362</v>
      </c>
      <c r="G126">
        <v>7850</v>
      </c>
      <c r="H126">
        <v>10772</v>
      </c>
      <c r="I126">
        <v>7870</v>
      </c>
      <c r="J126">
        <v>2902</v>
      </c>
      <c r="K126">
        <v>2.6190122539918299</v>
      </c>
      <c r="L126">
        <v>2.5872935196950402</v>
      </c>
      <c r="M126">
        <v>2.4569171138938599</v>
      </c>
      <c r="Q126">
        <v>40476</v>
      </c>
      <c r="R126">
        <v>13217</v>
      </c>
      <c r="S126">
        <v>32.653918371380598</v>
      </c>
      <c r="T126">
        <v>112071</v>
      </c>
      <c r="U126">
        <v>28212</v>
      </c>
      <c r="V126">
        <v>25.173327622667799</v>
      </c>
      <c r="AF126">
        <v>34</v>
      </c>
      <c r="AG126">
        <v>33348</v>
      </c>
      <c r="AH126">
        <v>82647</v>
      </c>
      <c r="AI126">
        <v>45</v>
      </c>
      <c r="AJ126">
        <v>7128</v>
      </c>
      <c r="AK126">
        <v>29424</v>
      </c>
      <c r="AL126">
        <v>79</v>
      </c>
      <c r="AM126">
        <v>40476</v>
      </c>
      <c r="AN126">
        <v>112071</v>
      </c>
    </row>
    <row r="127" spans="1:40" x14ac:dyDescent="0.3">
      <c r="A127" s="1">
        <v>41791</v>
      </c>
      <c r="B127">
        <v>2014</v>
      </c>
      <c r="C127" t="s">
        <v>20</v>
      </c>
      <c r="D127">
        <v>6</v>
      </c>
      <c r="E127">
        <v>23636</v>
      </c>
      <c r="F127">
        <v>15701</v>
      </c>
      <c r="G127">
        <v>7935</v>
      </c>
      <c r="H127">
        <v>8370</v>
      </c>
      <c r="I127">
        <v>5788</v>
      </c>
      <c r="J127">
        <v>2582</v>
      </c>
      <c r="K127">
        <v>2.8238948626045399</v>
      </c>
      <c r="L127">
        <v>2.7126814098134102</v>
      </c>
      <c r="M127">
        <v>2.5369560691234598</v>
      </c>
      <c r="Q127">
        <v>40600</v>
      </c>
      <c r="R127">
        <v>10355</v>
      </c>
      <c r="S127">
        <v>25.504926108374399</v>
      </c>
      <c r="T127">
        <v>119551</v>
      </c>
      <c r="U127">
        <v>23636</v>
      </c>
      <c r="V127">
        <v>19.770641818136198</v>
      </c>
      <c r="AF127">
        <v>34</v>
      </c>
      <c r="AG127">
        <v>33370</v>
      </c>
      <c r="AH127">
        <v>85642</v>
      </c>
      <c r="AI127">
        <v>47</v>
      </c>
      <c r="AJ127">
        <v>7230</v>
      </c>
      <c r="AK127">
        <v>33909</v>
      </c>
      <c r="AL127">
        <v>81</v>
      </c>
      <c r="AM127">
        <v>40600</v>
      </c>
      <c r="AN127">
        <v>119551</v>
      </c>
    </row>
    <row r="128" spans="1:40" x14ac:dyDescent="0.3">
      <c r="A128" s="1">
        <v>41821</v>
      </c>
      <c r="B128">
        <v>2014</v>
      </c>
      <c r="C128" t="s">
        <v>21</v>
      </c>
      <c r="D128">
        <v>7</v>
      </c>
      <c r="E128">
        <v>62324</v>
      </c>
      <c r="F128">
        <v>39362</v>
      </c>
      <c r="G128">
        <v>22962</v>
      </c>
      <c r="H128">
        <v>19120</v>
      </c>
      <c r="I128">
        <v>12484</v>
      </c>
      <c r="J128">
        <v>6636</v>
      </c>
      <c r="K128">
        <v>3.2597939222762702</v>
      </c>
      <c r="L128">
        <v>3.15299583466838</v>
      </c>
      <c r="M128">
        <v>2.8867171510438001</v>
      </c>
      <c r="Q128">
        <v>46502</v>
      </c>
      <c r="R128">
        <v>25866</v>
      </c>
      <c r="S128">
        <v>55.623414046707701</v>
      </c>
      <c r="T128">
        <v>136851</v>
      </c>
      <c r="U128">
        <v>62324</v>
      </c>
      <c r="V128">
        <v>45.541501340874397</v>
      </c>
      <c r="AF128">
        <v>36</v>
      </c>
      <c r="AG128">
        <v>36498</v>
      </c>
      <c r="AH128">
        <v>94191</v>
      </c>
      <c r="AI128">
        <v>54</v>
      </c>
      <c r="AJ128">
        <v>10004</v>
      </c>
      <c r="AK128">
        <v>42660</v>
      </c>
      <c r="AL128">
        <v>90</v>
      </c>
      <c r="AM128">
        <v>46502</v>
      </c>
      <c r="AN128">
        <v>136851</v>
      </c>
    </row>
    <row r="129" spans="1:40" x14ac:dyDescent="0.3">
      <c r="A129" s="1">
        <v>41852</v>
      </c>
      <c r="B129">
        <v>2014</v>
      </c>
      <c r="C129" t="s">
        <v>22</v>
      </c>
      <c r="D129">
        <v>8</v>
      </c>
      <c r="E129">
        <v>73347</v>
      </c>
      <c r="F129">
        <v>46119</v>
      </c>
      <c r="G129">
        <v>27228</v>
      </c>
      <c r="H129">
        <v>23106</v>
      </c>
      <c r="I129">
        <v>15535</v>
      </c>
      <c r="J129">
        <v>7571</v>
      </c>
      <c r="K129">
        <v>3.1743702934302802</v>
      </c>
      <c r="L129">
        <v>2.9687158030254301</v>
      </c>
      <c r="M129">
        <v>2.68958367888539</v>
      </c>
      <c r="Q129">
        <v>47337</v>
      </c>
      <c r="R129">
        <v>31271</v>
      </c>
      <c r="S129">
        <v>66.060375604706707</v>
      </c>
      <c r="T129">
        <v>138787</v>
      </c>
      <c r="U129">
        <v>73347</v>
      </c>
      <c r="V129">
        <v>52.848609740105303</v>
      </c>
      <c r="AF129">
        <v>36</v>
      </c>
      <c r="AG129">
        <v>36673</v>
      </c>
      <c r="AH129">
        <v>94426</v>
      </c>
      <c r="AI129">
        <v>58</v>
      </c>
      <c r="AJ129">
        <v>10664</v>
      </c>
      <c r="AK129">
        <v>44361</v>
      </c>
      <c r="AL129">
        <v>94</v>
      </c>
      <c r="AM129">
        <v>47337</v>
      </c>
      <c r="AN129">
        <v>138787</v>
      </c>
    </row>
    <row r="130" spans="1:40" x14ac:dyDescent="0.3">
      <c r="A130" s="1">
        <v>41883</v>
      </c>
      <c r="B130">
        <v>2014</v>
      </c>
      <c r="C130" t="s">
        <v>23</v>
      </c>
      <c r="D130">
        <v>9</v>
      </c>
      <c r="E130">
        <v>76782</v>
      </c>
      <c r="F130">
        <v>54512</v>
      </c>
      <c r="G130">
        <v>22270</v>
      </c>
      <c r="H130">
        <v>24415</v>
      </c>
      <c r="I130">
        <v>17785</v>
      </c>
      <c r="J130">
        <v>6630</v>
      </c>
      <c r="K130">
        <v>3.14486995699365</v>
      </c>
      <c r="L130">
        <v>3.0650548214787698</v>
      </c>
      <c r="M130">
        <v>2.8858515222151602</v>
      </c>
      <c r="Q130">
        <v>46590</v>
      </c>
      <c r="R130">
        <v>32906</v>
      </c>
      <c r="S130">
        <v>70.628890319811106</v>
      </c>
      <c r="T130">
        <v>136350</v>
      </c>
      <c r="U130">
        <v>76782</v>
      </c>
      <c r="V130">
        <v>56.312431243124301</v>
      </c>
      <c r="AF130">
        <v>38</v>
      </c>
      <c r="AG130">
        <v>36330</v>
      </c>
      <c r="AH130">
        <v>93000</v>
      </c>
      <c r="AI130">
        <v>61</v>
      </c>
      <c r="AJ130">
        <v>10260</v>
      </c>
      <c r="AK130">
        <v>43350</v>
      </c>
      <c r="AL130">
        <v>99</v>
      </c>
      <c r="AM130">
        <v>46590</v>
      </c>
      <c r="AN130">
        <v>136350</v>
      </c>
    </row>
    <row r="131" spans="1:40" x14ac:dyDescent="0.3">
      <c r="A131" s="1">
        <v>41913</v>
      </c>
      <c r="B131">
        <v>2014</v>
      </c>
      <c r="C131" t="s">
        <v>24</v>
      </c>
      <c r="D131">
        <v>10</v>
      </c>
      <c r="E131">
        <v>59720</v>
      </c>
      <c r="F131">
        <v>37403</v>
      </c>
      <c r="G131">
        <v>22317</v>
      </c>
      <c r="H131">
        <v>24290</v>
      </c>
      <c r="I131">
        <v>14827</v>
      </c>
      <c r="J131">
        <v>9463</v>
      </c>
      <c r="K131">
        <v>2.4586249485384899</v>
      </c>
      <c r="L131">
        <v>2.5226276387671098</v>
      </c>
      <c r="M131">
        <v>2.4393540161496001</v>
      </c>
      <c r="Q131">
        <v>50223</v>
      </c>
      <c r="R131">
        <v>26970</v>
      </c>
      <c r="S131">
        <v>53.700495788782</v>
      </c>
      <c r="T131">
        <v>146360</v>
      </c>
      <c r="U131">
        <v>59720</v>
      </c>
      <c r="V131">
        <v>40.8034982235584</v>
      </c>
      <c r="AF131">
        <v>39</v>
      </c>
      <c r="AG131">
        <v>39060</v>
      </c>
      <c r="AH131">
        <v>100161</v>
      </c>
      <c r="AI131">
        <v>63</v>
      </c>
      <c r="AJ131">
        <v>11163</v>
      </c>
      <c r="AK131">
        <v>46199</v>
      </c>
      <c r="AL131">
        <v>102</v>
      </c>
      <c r="AM131">
        <v>50223</v>
      </c>
      <c r="AN131">
        <v>146360</v>
      </c>
    </row>
    <row r="132" spans="1:40" x14ac:dyDescent="0.3">
      <c r="A132" s="1">
        <v>41944</v>
      </c>
      <c r="B132">
        <v>2014</v>
      </c>
      <c r="C132" t="s">
        <v>25</v>
      </c>
      <c r="D132">
        <v>11</v>
      </c>
      <c r="E132">
        <v>72189</v>
      </c>
      <c r="F132">
        <v>33226</v>
      </c>
      <c r="G132">
        <v>38963</v>
      </c>
      <c r="H132">
        <v>31379</v>
      </c>
      <c r="I132">
        <v>14359</v>
      </c>
      <c r="J132">
        <v>17020</v>
      </c>
      <c r="K132">
        <v>2.3005513241339801</v>
      </c>
      <c r="L132">
        <v>2.3139494393760001</v>
      </c>
      <c r="M132">
        <v>2.2242757672139599</v>
      </c>
      <c r="Q132">
        <v>48630</v>
      </c>
      <c r="R132">
        <v>33603</v>
      </c>
      <c r="S132">
        <v>69.099321406539204</v>
      </c>
      <c r="T132">
        <v>141570</v>
      </c>
      <c r="U132">
        <v>72189</v>
      </c>
      <c r="V132">
        <v>50.991735537190102</v>
      </c>
      <c r="AF132">
        <v>39</v>
      </c>
      <c r="AG132">
        <v>37740</v>
      </c>
      <c r="AH132">
        <v>96900</v>
      </c>
      <c r="AI132">
        <v>64</v>
      </c>
      <c r="AJ132">
        <v>10890</v>
      </c>
      <c r="AK132">
        <v>44670</v>
      </c>
      <c r="AL132">
        <v>103</v>
      </c>
      <c r="AM132">
        <v>48630</v>
      </c>
      <c r="AN132">
        <v>141570</v>
      </c>
    </row>
    <row r="133" spans="1:40" x14ac:dyDescent="0.3">
      <c r="A133" s="1">
        <v>41974</v>
      </c>
      <c r="B133">
        <v>2014</v>
      </c>
      <c r="C133" t="s">
        <v>26</v>
      </c>
      <c r="D133">
        <v>12</v>
      </c>
      <c r="E133">
        <v>67997</v>
      </c>
      <c r="F133">
        <v>27217</v>
      </c>
      <c r="G133">
        <v>40780</v>
      </c>
      <c r="H133">
        <v>28952</v>
      </c>
      <c r="I133">
        <v>11401</v>
      </c>
      <c r="J133">
        <v>17551</v>
      </c>
      <c r="K133">
        <v>2.3486114948880901</v>
      </c>
      <c r="L133">
        <v>2.38724673274274</v>
      </c>
      <c r="M133">
        <v>2.29475863571973</v>
      </c>
      <c r="Q133">
        <v>49445</v>
      </c>
      <c r="R133">
        <v>29389</v>
      </c>
      <c r="S133">
        <v>59.437759126301998</v>
      </c>
      <c r="T133">
        <v>144336</v>
      </c>
      <c r="U133">
        <v>67997</v>
      </c>
      <c r="V133">
        <v>47.110215053763397</v>
      </c>
      <c r="AF133">
        <v>39</v>
      </c>
      <c r="AG133">
        <v>38471</v>
      </c>
      <c r="AH133">
        <v>98890</v>
      </c>
      <c r="AI133">
        <v>64</v>
      </c>
      <c r="AJ133">
        <v>10974</v>
      </c>
      <c r="AK133">
        <v>45446</v>
      </c>
      <c r="AL133">
        <v>103</v>
      </c>
      <c r="AM133">
        <v>49445</v>
      </c>
      <c r="AN133">
        <v>144336</v>
      </c>
    </row>
    <row r="134" spans="1:40" x14ac:dyDescent="0.3">
      <c r="A134" s="1">
        <v>42005</v>
      </c>
      <c r="B134">
        <v>2015</v>
      </c>
      <c r="C134" t="s">
        <v>15</v>
      </c>
      <c r="D134">
        <v>1</v>
      </c>
      <c r="E134">
        <v>102388</v>
      </c>
      <c r="F134">
        <v>52431</v>
      </c>
      <c r="G134">
        <v>49957</v>
      </c>
      <c r="H134">
        <v>43218</v>
      </c>
      <c r="I134">
        <v>21078</v>
      </c>
      <c r="J134">
        <v>22140</v>
      </c>
      <c r="K134">
        <v>2.3691054653153798</v>
      </c>
      <c r="L134">
        <v>2.4874750925135198</v>
      </c>
      <c r="M134">
        <v>2.2564137308039798</v>
      </c>
      <c r="N134">
        <v>60841</v>
      </c>
      <c r="O134">
        <v>36642</v>
      </c>
      <c r="P134">
        <v>24199</v>
      </c>
      <c r="Q134">
        <v>52979</v>
      </c>
      <c r="R134">
        <v>43398</v>
      </c>
      <c r="S134">
        <v>81.915475943298304</v>
      </c>
      <c r="T134">
        <v>154969</v>
      </c>
      <c r="U134">
        <v>102388</v>
      </c>
      <c r="V134">
        <v>66.069988191186596</v>
      </c>
      <c r="AF134">
        <v>39</v>
      </c>
      <c r="AG134">
        <v>40393</v>
      </c>
      <c r="AH134">
        <v>102548</v>
      </c>
      <c r="AI134">
        <v>72</v>
      </c>
      <c r="AJ134">
        <v>12586</v>
      </c>
      <c r="AK134">
        <v>52421</v>
      </c>
      <c r="AL134">
        <v>111</v>
      </c>
      <c r="AM134">
        <v>52979</v>
      </c>
      <c r="AN134">
        <v>154969</v>
      </c>
    </row>
    <row r="135" spans="1:40" x14ac:dyDescent="0.3">
      <c r="A135" s="1">
        <v>42036</v>
      </c>
      <c r="B135">
        <v>2015</v>
      </c>
      <c r="C135" t="s">
        <v>16</v>
      </c>
      <c r="D135">
        <v>2</v>
      </c>
      <c r="E135">
        <v>82845</v>
      </c>
      <c r="F135">
        <v>40140</v>
      </c>
      <c r="G135">
        <v>42705</v>
      </c>
      <c r="H135">
        <v>35592</v>
      </c>
      <c r="I135">
        <v>15994</v>
      </c>
      <c r="J135">
        <v>19598</v>
      </c>
      <c r="K135">
        <v>2.32762980445044</v>
      </c>
      <c r="L135">
        <v>2.5096911341753199</v>
      </c>
      <c r="M135">
        <v>2.1790488825390302</v>
      </c>
      <c r="N135">
        <v>43944</v>
      </c>
      <c r="O135">
        <v>20800</v>
      </c>
      <c r="P135">
        <v>23144</v>
      </c>
      <c r="Q135">
        <v>47796</v>
      </c>
      <c r="R135">
        <v>32697</v>
      </c>
      <c r="S135">
        <v>68.409490333919152</v>
      </c>
      <c r="T135">
        <v>139440</v>
      </c>
      <c r="U135">
        <v>75900</v>
      </c>
      <c r="V135">
        <v>54.432013769363166</v>
      </c>
      <c r="AF135">
        <v>39</v>
      </c>
      <c r="AG135">
        <v>36708</v>
      </c>
      <c r="AH135">
        <v>92512</v>
      </c>
      <c r="AI135">
        <v>72</v>
      </c>
      <c r="AJ135">
        <v>11088</v>
      </c>
      <c r="AK135">
        <v>46928</v>
      </c>
      <c r="AL135">
        <v>111</v>
      </c>
      <c r="AM135">
        <v>47796</v>
      </c>
      <c r="AN135">
        <v>139440</v>
      </c>
    </row>
    <row r="136" spans="1:40" x14ac:dyDescent="0.3">
      <c r="A136" s="1">
        <v>42064</v>
      </c>
      <c r="B136">
        <v>2015</v>
      </c>
      <c r="C136" t="s">
        <v>17</v>
      </c>
      <c r="D136">
        <v>3</v>
      </c>
      <c r="E136">
        <v>69303</v>
      </c>
      <c r="F136">
        <v>37048</v>
      </c>
      <c r="G136">
        <v>32255</v>
      </c>
      <c r="H136">
        <v>30169</v>
      </c>
      <c r="I136">
        <v>15280</v>
      </c>
      <c r="J136">
        <v>14889</v>
      </c>
      <c r="K136">
        <v>2.2971593357419899</v>
      </c>
      <c r="L136">
        <v>2.4246073298429298</v>
      </c>
      <c r="M136">
        <v>2.16636443011619</v>
      </c>
      <c r="N136">
        <v>29554</v>
      </c>
      <c r="O136">
        <v>16253</v>
      </c>
      <c r="P136">
        <v>13301</v>
      </c>
      <c r="Q136">
        <v>52715</v>
      </c>
      <c r="R136">
        <v>31603</v>
      </c>
      <c r="S136">
        <v>59.950678175092499</v>
      </c>
      <c r="T136">
        <v>153650</v>
      </c>
      <c r="U136">
        <v>69303</v>
      </c>
      <c r="V136">
        <v>45.1044581841848</v>
      </c>
      <c r="AF136">
        <v>39</v>
      </c>
      <c r="AG136">
        <v>40579</v>
      </c>
      <c r="AH136">
        <v>102145</v>
      </c>
      <c r="AI136">
        <v>68</v>
      </c>
      <c r="AJ136">
        <v>12136</v>
      </c>
      <c r="AK136">
        <v>51505</v>
      </c>
      <c r="AL136">
        <v>107</v>
      </c>
      <c r="AM136">
        <v>52715</v>
      </c>
      <c r="AN136">
        <v>153650</v>
      </c>
    </row>
    <row r="137" spans="1:40" x14ac:dyDescent="0.3">
      <c r="A137" s="1">
        <v>42095</v>
      </c>
      <c r="B137">
        <v>2015</v>
      </c>
      <c r="C137" t="s">
        <v>18</v>
      </c>
      <c r="D137">
        <v>4</v>
      </c>
      <c r="E137">
        <v>44764</v>
      </c>
      <c r="F137">
        <v>29605</v>
      </c>
      <c r="G137">
        <v>15159</v>
      </c>
      <c r="H137">
        <v>18692</v>
      </c>
      <c r="I137">
        <v>12138</v>
      </c>
      <c r="J137">
        <v>6554</v>
      </c>
      <c r="K137">
        <v>2.3948213139310899</v>
      </c>
      <c r="L137">
        <v>2.43903443730433</v>
      </c>
      <c r="M137">
        <v>2.3129386634116602</v>
      </c>
      <c r="N137">
        <v>12992</v>
      </c>
      <c r="O137">
        <v>8820</v>
      </c>
      <c r="P137">
        <v>4172</v>
      </c>
      <c r="Q137">
        <v>50206</v>
      </c>
      <c r="R137">
        <v>21202</v>
      </c>
      <c r="S137">
        <v>42.230012349121601</v>
      </c>
      <c r="T137">
        <v>142958</v>
      </c>
      <c r="U137">
        <v>44764</v>
      </c>
      <c r="V137">
        <v>31.312693238573601</v>
      </c>
      <c r="AF137">
        <v>37</v>
      </c>
      <c r="AG137">
        <v>38490</v>
      </c>
      <c r="AH137">
        <v>95460</v>
      </c>
      <c r="AI137">
        <v>61</v>
      </c>
      <c r="AJ137">
        <v>11716</v>
      </c>
      <c r="AK137">
        <v>47498</v>
      </c>
      <c r="AL137">
        <v>98</v>
      </c>
      <c r="AM137">
        <v>50206</v>
      </c>
      <c r="AN137">
        <v>142958</v>
      </c>
    </row>
    <row r="138" spans="1:40" x14ac:dyDescent="0.3">
      <c r="A138" s="1">
        <v>42125</v>
      </c>
      <c r="B138">
        <v>2015</v>
      </c>
      <c r="C138" t="s">
        <v>19</v>
      </c>
      <c r="D138">
        <v>5</v>
      </c>
      <c r="E138">
        <v>29394</v>
      </c>
      <c r="F138">
        <v>20203</v>
      </c>
      <c r="G138">
        <v>9191</v>
      </c>
      <c r="H138">
        <v>12464</v>
      </c>
      <c r="I138">
        <v>8781</v>
      </c>
      <c r="J138">
        <v>3683</v>
      </c>
      <c r="K138">
        <v>2.3583119383825402</v>
      </c>
      <c r="L138">
        <v>2.30076301104658</v>
      </c>
      <c r="M138">
        <v>2.4955199565571502</v>
      </c>
      <c r="N138">
        <v>8778</v>
      </c>
      <c r="O138">
        <v>6220</v>
      </c>
      <c r="P138">
        <v>2558</v>
      </c>
      <c r="Q138">
        <v>45477</v>
      </c>
      <c r="R138">
        <v>15147</v>
      </c>
      <c r="S138">
        <v>33.306946368494003</v>
      </c>
      <c r="T138">
        <v>124273</v>
      </c>
      <c r="U138">
        <v>29394</v>
      </c>
      <c r="V138">
        <v>23.652764478205199</v>
      </c>
      <c r="AF138">
        <v>35</v>
      </c>
      <c r="AG138">
        <v>37820</v>
      </c>
      <c r="AH138">
        <v>92811</v>
      </c>
      <c r="AI138">
        <v>42</v>
      </c>
      <c r="AJ138">
        <v>7657</v>
      </c>
      <c r="AK138">
        <v>31462</v>
      </c>
      <c r="AL138">
        <v>77</v>
      </c>
      <c r="AM138">
        <v>45477</v>
      </c>
      <c r="AN138">
        <v>124273</v>
      </c>
    </row>
    <row r="139" spans="1:40" x14ac:dyDescent="0.3">
      <c r="A139" s="1">
        <v>42156</v>
      </c>
      <c r="B139">
        <v>2015</v>
      </c>
      <c r="C139" t="s">
        <v>20</v>
      </c>
      <c r="D139">
        <v>6</v>
      </c>
      <c r="E139">
        <v>23576</v>
      </c>
      <c r="F139">
        <v>17239</v>
      </c>
      <c r="G139">
        <v>6337</v>
      </c>
      <c r="H139">
        <v>9825</v>
      </c>
      <c r="I139">
        <v>7260</v>
      </c>
      <c r="J139">
        <v>2565</v>
      </c>
      <c r="K139">
        <v>2.3995928753180702</v>
      </c>
      <c r="L139">
        <v>2.3745179063360902</v>
      </c>
      <c r="M139">
        <v>2.4705653021442502</v>
      </c>
      <c r="N139">
        <v>5174</v>
      </c>
      <c r="O139">
        <v>3356</v>
      </c>
      <c r="P139">
        <v>1818</v>
      </c>
      <c r="Q139">
        <v>43718</v>
      </c>
      <c r="R139">
        <v>12392</v>
      </c>
      <c r="S139">
        <v>28.345303993778298</v>
      </c>
      <c r="T139">
        <v>126785</v>
      </c>
      <c r="U139">
        <v>23576</v>
      </c>
      <c r="V139">
        <v>18.5952596916039</v>
      </c>
      <c r="AF139">
        <v>36</v>
      </c>
      <c r="AG139">
        <v>36200</v>
      </c>
      <c r="AH139">
        <v>90890</v>
      </c>
      <c r="AI139">
        <v>46</v>
      </c>
      <c r="AJ139">
        <v>7518</v>
      </c>
      <c r="AK139">
        <v>35895</v>
      </c>
      <c r="AL139">
        <v>82</v>
      </c>
      <c r="AM139">
        <v>43718</v>
      </c>
      <c r="AN139">
        <v>126785</v>
      </c>
    </row>
    <row r="140" spans="1:40" x14ac:dyDescent="0.3">
      <c r="A140" s="1">
        <v>42186</v>
      </c>
      <c r="B140">
        <v>2015</v>
      </c>
      <c r="C140" t="s">
        <v>21</v>
      </c>
      <c r="D140">
        <v>7</v>
      </c>
      <c r="E140">
        <v>73984</v>
      </c>
      <c r="F140">
        <v>48485</v>
      </c>
      <c r="G140">
        <v>25499</v>
      </c>
      <c r="H140">
        <v>22576</v>
      </c>
      <c r="I140">
        <v>14988</v>
      </c>
      <c r="J140">
        <v>7588</v>
      </c>
      <c r="K140">
        <v>3.2771084337349401</v>
      </c>
      <c r="L140">
        <v>3.2349212703496102</v>
      </c>
      <c r="M140">
        <v>3.3604375329467602</v>
      </c>
      <c r="N140">
        <v>5646</v>
      </c>
      <c r="O140">
        <v>4636</v>
      </c>
      <c r="P140">
        <v>1010</v>
      </c>
      <c r="Q140">
        <v>51415</v>
      </c>
      <c r="R140">
        <v>32950</v>
      </c>
      <c r="S140">
        <v>64.086356121754406</v>
      </c>
      <c r="T140">
        <v>152000</v>
      </c>
      <c r="U140">
        <v>73984</v>
      </c>
      <c r="V140">
        <v>48.673684210526297</v>
      </c>
      <c r="AF140">
        <v>38</v>
      </c>
      <c r="AG140">
        <v>39217</v>
      </c>
      <c r="AH140">
        <v>101146</v>
      </c>
      <c r="AI140">
        <v>67</v>
      </c>
      <c r="AJ140">
        <v>12198</v>
      </c>
      <c r="AK140">
        <v>50854</v>
      </c>
      <c r="AL140">
        <v>105</v>
      </c>
      <c r="AM140">
        <v>51415</v>
      </c>
      <c r="AN140">
        <v>152000</v>
      </c>
    </row>
    <row r="141" spans="1:40" x14ac:dyDescent="0.3">
      <c r="A141" s="1">
        <v>42217</v>
      </c>
      <c r="B141">
        <v>2015</v>
      </c>
      <c r="C141" t="s">
        <v>22</v>
      </c>
      <c r="D141">
        <v>8</v>
      </c>
      <c r="E141">
        <v>79612</v>
      </c>
      <c r="F141">
        <v>53381</v>
      </c>
      <c r="G141">
        <v>26231</v>
      </c>
      <c r="H141">
        <v>25403</v>
      </c>
      <c r="I141">
        <v>16712</v>
      </c>
      <c r="J141">
        <v>8691</v>
      </c>
      <c r="K141">
        <v>3.13396055583986</v>
      </c>
      <c r="L141">
        <v>3.1941718525610301</v>
      </c>
      <c r="M141">
        <v>3.0181797261534902</v>
      </c>
      <c r="N141">
        <v>11228</v>
      </c>
      <c r="O141">
        <v>10261</v>
      </c>
      <c r="P141">
        <v>967</v>
      </c>
      <c r="Q141">
        <v>55180</v>
      </c>
      <c r="R141">
        <v>35233</v>
      </c>
      <c r="S141">
        <v>63.851032982964803</v>
      </c>
      <c r="T141">
        <v>160270</v>
      </c>
      <c r="U141">
        <v>79612</v>
      </c>
      <c r="V141">
        <v>49.673675672302998</v>
      </c>
      <c r="AF141">
        <v>40</v>
      </c>
      <c r="AG141">
        <v>42935</v>
      </c>
      <c r="AH141">
        <v>108593</v>
      </c>
      <c r="AI141">
        <v>68</v>
      </c>
      <c r="AJ141">
        <v>12245</v>
      </c>
      <c r="AK141">
        <v>51677</v>
      </c>
      <c r="AL141">
        <v>108</v>
      </c>
      <c r="AM141">
        <v>55180</v>
      </c>
      <c r="AN141">
        <v>160270</v>
      </c>
    </row>
    <row r="142" spans="1:40" x14ac:dyDescent="0.3">
      <c r="A142" s="1">
        <v>42248</v>
      </c>
      <c r="B142">
        <v>2015</v>
      </c>
      <c r="C142" t="s">
        <v>23</v>
      </c>
      <c r="D142">
        <v>9</v>
      </c>
      <c r="E142">
        <v>82944</v>
      </c>
      <c r="F142">
        <v>56624</v>
      </c>
      <c r="G142">
        <v>26320</v>
      </c>
      <c r="H142">
        <v>25716</v>
      </c>
      <c r="I142">
        <v>17853</v>
      </c>
      <c r="J142">
        <v>7863</v>
      </c>
      <c r="K142">
        <v>3.2253849743350398</v>
      </c>
      <c r="L142">
        <v>3.1716798297205</v>
      </c>
      <c r="M142">
        <v>3.3473229047437401</v>
      </c>
      <c r="N142">
        <v>17836</v>
      </c>
      <c r="O142">
        <v>16393</v>
      </c>
      <c r="P142">
        <v>1443</v>
      </c>
      <c r="Q142">
        <v>53752</v>
      </c>
      <c r="R142">
        <v>37748</v>
      </c>
      <c r="S142">
        <v>70.226224140497095</v>
      </c>
      <c r="T142">
        <v>155148</v>
      </c>
      <c r="U142">
        <v>82944</v>
      </c>
      <c r="V142">
        <v>53.461211230566903</v>
      </c>
      <c r="AF142">
        <v>40</v>
      </c>
      <c r="AG142">
        <v>41682</v>
      </c>
      <c r="AH142">
        <v>105136</v>
      </c>
      <c r="AI142">
        <v>66</v>
      </c>
      <c r="AJ142">
        <v>12070</v>
      </c>
      <c r="AK142">
        <v>50012</v>
      </c>
      <c r="AL142">
        <v>106</v>
      </c>
      <c r="AM142">
        <v>53752</v>
      </c>
      <c r="AN142">
        <v>155148</v>
      </c>
    </row>
    <row r="143" spans="1:40" x14ac:dyDescent="0.3">
      <c r="A143" s="1">
        <v>42278</v>
      </c>
      <c r="B143">
        <v>2015</v>
      </c>
      <c r="C143" t="s">
        <v>24</v>
      </c>
      <c r="D143">
        <v>10</v>
      </c>
      <c r="E143">
        <v>62754</v>
      </c>
      <c r="F143">
        <v>38557</v>
      </c>
      <c r="G143">
        <v>24197</v>
      </c>
      <c r="H143">
        <v>23846</v>
      </c>
      <c r="I143">
        <v>14446</v>
      </c>
      <c r="J143">
        <v>9400</v>
      </c>
      <c r="K143">
        <v>2.6316363331376298</v>
      </c>
      <c r="L143">
        <v>2.6690433337948201</v>
      </c>
      <c r="M143">
        <v>2.5741489361702099</v>
      </c>
      <c r="N143">
        <v>30004</v>
      </c>
      <c r="O143">
        <v>24247</v>
      </c>
      <c r="P143">
        <v>5757</v>
      </c>
      <c r="Q143">
        <v>54591</v>
      </c>
      <c r="R143">
        <v>28892</v>
      </c>
      <c r="S143">
        <v>52.924474730266901</v>
      </c>
      <c r="T143">
        <v>158472</v>
      </c>
      <c r="U143">
        <v>62754</v>
      </c>
      <c r="V143">
        <v>39.599424504013299</v>
      </c>
      <c r="AF143">
        <v>40</v>
      </c>
      <c r="AG143">
        <v>43028</v>
      </c>
      <c r="AH143">
        <v>109399</v>
      </c>
      <c r="AI143">
        <v>66</v>
      </c>
      <c r="AJ143">
        <v>11563</v>
      </c>
      <c r="AK143">
        <v>49073</v>
      </c>
      <c r="AL143">
        <v>106</v>
      </c>
      <c r="AM143">
        <v>54591</v>
      </c>
      <c r="AN143">
        <v>158472</v>
      </c>
    </row>
    <row r="144" spans="1:40" x14ac:dyDescent="0.3">
      <c r="A144" s="1">
        <v>42309</v>
      </c>
      <c r="B144">
        <v>2015</v>
      </c>
      <c r="C144" t="s">
        <v>25</v>
      </c>
      <c r="D144">
        <v>11</v>
      </c>
      <c r="E144">
        <v>70300</v>
      </c>
      <c r="F144">
        <v>31148</v>
      </c>
      <c r="G144">
        <v>39152</v>
      </c>
      <c r="H144">
        <v>32966</v>
      </c>
      <c r="I144">
        <v>13695</v>
      </c>
      <c r="J144">
        <v>19271</v>
      </c>
      <c r="K144">
        <v>2.1325001516714202</v>
      </c>
      <c r="L144">
        <v>2.2744067177802099</v>
      </c>
      <c r="M144">
        <v>2.0316537802916299</v>
      </c>
      <c r="N144">
        <v>29442</v>
      </c>
      <c r="O144">
        <v>16329</v>
      </c>
      <c r="P144">
        <v>13113</v>
      </c>
      <c r="Q144">
        <v>53430</v>
      </c>
      <c r="R144">
        <v>33955</v>
      </c>
      <c r="S144">
        <v>63.550439827812099</v>
      </c>
      <c r="T144">
        <v>152130</v>
      </c>
      <c r="U144">
        <v>70300</v>
      </c>
      <c r="V144">
        <v>46.210477880759903</v>
      </c>
      <c r="AF144">
        <v>38</v>
      </c>
      <c r="AG144">
        <v>41340</v>
      </c>
      <c r="AH144">
        <v>103770</v>
      </c>
      <c r="AI144">
        <v>69</v>
      </c>
      <c r="AJ144">
        <v>12090</v>
      </c>
      <c r="AK144">
        <v>48360</v>
      </c>
      <c r="AL144">
        <v>107</v>
      </c>
      <c r="AM144">
        <v>53430</v>
      </c>
      <c r="AN144">
        <v>152130</v>
      </c>
    </row>
    <row r="145" spans="1:40" x14ac:dyDescent="0.3">
      <c r="A145" s="1">
        <v>42339</v>
      </c>
      <c r="B145">
        <v>2015</v>
      </c>
      <c r="C145" t="s">
        <v>26</v>
      </c>
      <c r="D145">
        <v>12</v>
      </c>
      <c r="E145">
        <v>72224</v>
      </c>
      <c r="F145">
        <v>28479</v>
      </c>
      <c r="G145">
        <v>43745</v>
      </c>
      <c r="H145">
        <v>31095</v>
      </c>
      <c r="I145">
        <v>12078</v>
      </c>
      <c r="J145">
        <v>19017</v>
      </c>
      <c r="K145">
        <v>2.3226885351342701</v>
      </c>
      <c r="L145">
        <v>2.3579234972677598</v>
      </c>
      <c r="M145">
        <v>2.3003102487248301</v>
      </c>
      <c r="N145">
        <v>33187</v>
      </c>
      <c r="O145">
        <v>17251</v>
      </c>
      <c r="P145">
        <v>15936</v>
      </c>
      <c r="Q145">
        <v>53897</v>
      </c>
      <c r="R145">
        <v>31189</v>
      </c>
      <c r="S145">
        <v>57.867784848878401</v>
      </c>
      <c r="T145">
        <v>155336</v>
      </c>
      <c r="U145">
        <v>72224</v>
      </c>
      <c r="V145">
        <v>46.495339135808798</v>
      </c>
      <c r="AF145">
        <v>38</v>
      </c>
      <c r="AG145">
        <v>41943</v>
      </c>
      <c r="AH145">
        <v>106144</v>
      </c>
      <c r="AI145">
        <v>69</v>
      </c>
      <c r="AJ145">
        <v>11954</v>
      </c>
      <c r="AK145">
        <v>49192</v>
      </c>
      <c r="AL145">
        <v>107</v>
      </c>
      <c r="AM145">
        <v>53897</v>
      </c>
      <c r="AN145">
        <v>155336</v>
      </c>
    </row>
    <row r="146" spans="1:40" x14ac:dyDescent="0.3">
      <c r="A146" s="1">
        <v>42370</v>
      </c>
      <c r="B146">
        <v>2016</v>
      </c>
      <c r="C146" t="s">
        <v>15</v>
      </c>
      <c r="D146">
        <v>1</v>
      </c>
      <c r="E146">
        <v>97068</v>
      </c>
      <c r="F146">
        <v>57520</v>
      </c>
      <c r="G146">
        <v>39548</v>
      </c>
      <c r="H146">
        <v>39242</v>
      </c>
      <c r="I146">
        <v>21409</v>
      </c>
      <c r="J146">
        <v>17833</v>
      </c>
      <c r="K146">
        <v>2.4735742316905398</v>
      </c>
      <c r="L146">
        <v>2.6867205380914601</v>
      </c>
      <c r="M146">
        <v>2.2176863118936798</v>
      </c>
      <c r="N146">
        <v>47577</v>
      </c>
      <c r="O146">
        <v>29201</v>
      </c>
      <c r="P146">
        <v>18376</v>
      </c>
      <c r="Q146">
        <v>55862</v>
      </c>
      <c r="R146">
        <v>42215</v>
      </c>
      <c r="S146">
        <v>75.570155024882794</v>
      </c>
      <c r="T146">
        <v>165106</v>
      </c>
      <c r="U146">
        <v>97068</v>
      </c>
      <c r="V146">
        <v>58.791321938633402</v>
      </c>
      <c r="AF146">
        <v>38</v>
      </c>
      <c r="AG146">
        <v>42842</v>
      </c>
      <c r="AH146">
        <v>111042</v>
      </c>
      <c r="AI146">
        <v>70</v>
      </c>
      <c r="AJ146">
        <v>13020</v>
      </c>
      <c r="AK146">
        <v>54064</v>
      </c>
      <c r="AL146">
        <v>108</v>
      </c>
      <c r="AM146">
        <v>55862</v>
      </c>
      <c r="AN146">
        <v>165106</v>
      </c>
    </row>
    <row r="147" spans="1:40" x14ac:dyDescent="0.3">
      <c r="A147" s="1">
        <v>42401</v>
      </c>
      <c r="B147">
        <v>2016</v>
      </c>
      <c r="C147" t="s">
        <v>16</v>
      </c>
      <c r="D147">
        <v>2</v>
      </c>
      <c r="E147">
        <v>80008</v>
      </c>
      <c r="F147">
        <v>45101</v>
      </c>
      <c r="G147">
        <v>34907</v>
      </c>
      <c r="H147">
        <v>33094</v>
      </c>
      <c r="I147">
        <v>16889</v>
      </c>
      <c r="J147">
        <v>16205</v>
      </c>
      <c r="K147">
        <v>2.4175983561974999</v>
      </c>
      <c r="L147">
        <v>2.6704363787080299</v>
      </c>
      <c r="M147">
        <v>2.1540882443690199</v>
      </c>
      <c r="N147">
        <v>33958</v>
      </c>
      <c r="O147">
        <v>16509</v>
      </c>
      <c r="P147">
        <v>17449</v>
      </c>
      <c r="Q147">
        <v>51707</v>
      </c>
      <c r="R147">
        <v>35324</v>
      </c>
      <c r="S147">
        <v>68.315701935908095</v>
      </c>
      <c r="T147">
        <v>153671</v>
      </c>
      <c r="U147">
        <v>80008</v>
      </c>
      <c r="V147">
        <v>52.064475405248899</v>
      </c>
      <c r="AF147">
        <v>38</v>
      </c>
      <c r="AG147">
        <v>39788</v>
      </c>
      <c r="AH147">
        <v>103704</v>
      </c>
      <c r="AI147">
        <v>70</v>
      </c>
      <c r="AJ147">
        <v>11919</v>
      </c>
      <c r="AK147">
        <v>49967</v>
      </c>
      <c r="AL147">
        <v>108</v>
      </c>
      <c r="AM147">
        <v>51707</v>
      </c>
      <c r="AN147">
        <v>153671</v>
      </c>
    </row>
    <row r="148" spans="1:40" x14ac:dyDescent="0.3">
      <c r="A148" s="1">
        <v>42430</v>
      </c>
      <c r="B148">
        <v>2016</v>
      </c>
      <c r="C148" t="s">
        <v>17</v>
      </c>
      <c r="D148">
        <v>3</v>
      </c>
      <c r="E148">
        <v>73506</v>
      </c>
      <c r="F148">
        <v>43783</v>
      </c>
      <c r="G148">
        <v>29723</v>
      </c>
      <c r="H148">
        <v>28306</v>
      </c>
      <c r="I148">
        <v>15334</v>
      </c>
      <c r="J148">
        <v>12972</v>
      </c>
      <c r="K148">
        <v>2.5968345933724302</v>
      </c>
      <c r="L148">
        <v>2.8552889004825901</v>
      </c>
      <c r="M148">
        <v>2.29131976564909</v>
      </c>
      <c r="N148">
        <v>28374</v>
      </c>
      <c r="O148">
        <v>15614</v>
      </c>
      <c r="P148">
        <v>12760</v>
      </c>
      <c r="Q148">
        <v>55862</v>
      </c>
      <c r="R148">
        <v>32624</v>
      </c>
      <c r="S148">
        <v>58.401059754394801</v>
      </c>
      <c r="T148">
        <v>165633</v>
      </c>
      <c r="U148">
        <v>73506</v>
      </c>
      <c r="V148">
        <v>44.3788375504881</v>
      </c>
      <c r="AF148">
        <v>38</v>
      </c>
      <c r="AG148">
        <v>43369</v>
      </c>
      <c r="AH148">
        <v>112685</v>
      </c>
      <c r="AI148">
        <v>67</v>
      </c>
      <c r="AJ148">
        <v>12493</v>
      </c>
      <c r="AK148">
        <v>52948</v>
      </c>
      <c r="AL148">
        <v>105</v>
      </c>
      <c r="AM148">
        <v>55862</v>
      </c>
      <c r="AN148">
        <v>165633</v>
      </c>
    </row>
    <row r="149" spans="1:40" x14ac:dyDescent="0.3">
      <c r="A149" s="1">
        <v>42461</v>
      </c>
      <c r="B149">
        <v>2016</v>
      </c>
      <c r="C149" t="s">
        <v>18</v>
      </c>
      <c r="D149">
        <v>4</v>
      </c>
      <c r="E149">
        <v>39768</v>
      </c>
      <c r="F149">
        <v>26825</v>
      </c>
      <c r="G149">
        <v>12943</v>
      </c>
      <c r="H149">
        <v>14505</v>
      </c>
      <c r="I149">
        <v>9242</v>
      </c>
      <c r="J149">
        <v>5263</v>
      </c>
      <c r="K149">
        <v>2.7416752843846899</v>
      </c>
      <c r="L149">
        <v>2.9025102791603499</v>
      </c>
      <c r="M149">
        <v>2.4592437773133198</v>
      </c>
      <c r="N149">
        <v>5588</v>
      </c>
      <c r="O149">
        <v>3922</v>
      </c>
      <c r="P149">
        <v>1666</v>
      </c>
      <c r="Q149">
        <v>48660</v>
      </c>
      <c r="R149">
        <v>18457</v>
      </c>
      <c r="S149">
        <v>37.930538429921903</v>
      </c>
      <c r="T149">
        <v>141840</v>
      </c>
      <c r="U149">
        <v>39768</v>
      </c>
      <c r="V149">
        <v>28.037225042301198</v>
      </c>
      <c r="AF149">
        <v>36</v>
      </c>
      <c r="AG149">
        <v>39420</v>
      </c>
      <c r="AH149">
        <v>99900</v>
      </c>
      <c r="AI149">
        <v>52</v>
      </c>
      <c r="AJ149">
        <v>9240</v>
      </c>
      <c r="AK149">
        <v>41940</v>
      </c>
      <c r="AL149">
        <v>88</v>
      </c>
      <c r="AM149">
        <v>48660</v>
      </c>
      <c r="AN149">
        <v>141840</v>
      </c>
    </row>
    <row r="150" spans="1:40" x14ac:dyDescent="0.3">
      <c r="A150" s="1">
        <v>42491</v>
      </c>
      <c r="B150">
        <v>2016</v>
      </c>
      <c r="C150" t="s">
        <v>19</v>
      </c>
      <c r="D150">
        <v>5</v>
      </c>
      <c r="E150">
        <v>28496</v>
      </c>
      <c r="F150">
        <v>20269</v>
      </c>
      <c r="G150">
        <v>8227</v>
      </c>
      <c r="H150">
        <v>11241</v>
      </c>
      <c r="I150">
        <v>8002</v>
      </c>
      <c r="J150">
        <v>3239</v>
      </c>
      <c r="K150">
        <v>2.5350057824037</v>
      </c>
      <c r="L150">
        <v>2.5329917520619798</v>
      </c>
      <c r="M150">
        <v>2.5399814757641201</v>
      </c>
      <c r="N150">
        <v>7716</v>
      </c>
      <c r="O150">
        <v>0</v>
      </c>
      <c r="P150">
        <v>0</v>
      </c>
      <c r="Q150">
        <v>43442</v>
      </c>
      <c r="R150">
        <v>13236</v>
      </c>
      <c r="S150">
        <v>30.4682104875466</v>
      </c>
      <c r="T150">
        <v>127149</v>
      </c>
      <c r="U150">
        <v>28496</v>
      </c>
      <c r="V150">
        <v>22.411501466783101</v>
      </c>
      <c r="AF150">
        <v>30</v>
      </c>
      <c r="AG150">
        <v>36281</v>
      </c>
      <c r="AH150">
        <v>93607</v>
      </c>
      <c r="AI150">
        <v>36</v>
      </c>
      <c r="AJ150">
        <v>7161</v>
      </c>
      <c r="AK150">
        <v>33542</v>
      </c>
      <c r="AL150">
        <v>66</v>
      </c>
      <c r="AM150">
        <v>43442</v>
      </c>
      <c r="AN150">
        <v>127149</v>
      </c>
    </row>
    <row r="151" spans="1:40" x14ac:dyDescent="0.3">
      <c r="A151" s="1">
        <v>42522</v>
      </c>
      <c r="B151">
        <v>2016</v>
      </c>
      <c r="C151" t="s">
        <v>20</v>
      </c>
      <c r="D151">
        <v>6</v>
      </c>
      <c r="E151">
        <v>28698</v>
      </c>
      <c r="F151">
        <v>20308</v>
      </c>
      <c r="G151">
        <v>8390</v>
      </c>
      <c r="H151">
        <v>11354</v>
      </c>
      <c r="I151">
        <v>8130</v>
      </c>
      <c r="J151">
        <v>3224</v>
      </c>
      <c r="K151">
        <v>2.52756737713581</v>
      </c>
      <c r="L151">
        <v>2.4979089790897899</v>
      </c>
      <c r="M151">
        <v>2.60235732009926</v>
      </c>
      <c r="N151">
        <v>5826</v>
      </c>
      <c r="O151">
        <v>5826</v>
      </c>
      <c r="P151">
        <v>0</v>
      </c>
      <c r="Q151">
        <v>45780</v>
      </c>
      <c r="R151">
        <v>13344</v>
      </c>
      <c r="S151">
        <v>29.148099606815201</v>
      </c>
      <c r="T151">
        <v>133950</v>
      </c>
      <c r="U151">
        <v>28698</v>
      </c>
      <c r="V151">
        <v>21.424412094064898</v>
      </c>
      <c r="AF151">
        <v>31</v>
      </c>
      <c r="AG151">
        <v>37320</v>
      </c>
      <c r="AH151">
        <v>95100</v>
      </c>
      <c r="AI151">
        <v>40</v>
      </c>
      <c r="AJ151">
        <v>8460</v>
      </c>
      <c r="AK151">
        <v>38850</v>
      </c>
      <c r="AL151">
        <v>71</v>
      </c>
      <c r="AM151">
        <v>45780</v>
      </c>
      <c r="AN151">
        <v>133950</v>
      </c>
    </row>
    <row r="152" spans="1:40" x14ac:dyDescent="0.3">
      <c r="A152" s="1">
        <v>42552</v>
      </c>
      <c r="B152">
        <v>2016</v>
      </c>
      <c r="C152" t="s">
        <v>21</v>
      </c>
      <c r="D152">
        <v>7</v>
      </c>
      <c r="E152">
        <v>73600</v>
      </c>
      <c r="F152">
        <v>45237</v>
      </c>
      <c r="G152">
        <v>28363</v>
      </c>
      <c r="H152">
        <v>24104</v>
      </c>
      <c r="I152">
        <v>15847</v>
      </c>
      <c r="J152">
        <v>8257</v>
      </c>
      <c r="K152">
        <v>3.0534351145038201</v>
      </c>
      <c r="L152">
        <v>2.8546097053069999</v>
      </c>
      <c r="M152">
        <v>3.4350248274191602</v>
      </c>
      <c r="N152">
        <v>0</v>
      </c>
      <c r="O152">
        <v>0</v>
      </c>
      <c r="P152">
        <v>0</v>
      </c>
      <c r="Q152">
        <v>55614</v>
      </c>
      <c r="R152">
        <v>30133</v>
      </c>
      <c r="S152">
        <v>54.182400115078899</v>
      </c>
      <c r="T152">
        <v>161975</v>
      </c>
      <c r="U152">
        <v>73600</v>
      </c>
      <c r="V152">
        <v>45.439110973915703</v>
      </c>
      <c r="AF152">
        <v>37</v>
      </c>
      <c r="AG152">
        <v>41261</v>
      </c>
      <c r="AH152">
        <v>108190</v>
      </c>
      <c r="AI152">
        <v>51</v>
      </c>
      <c r="AJ152">
        <v>14353</v>
      </c>
      <c r="AK152">
        <v>53785</v>
      </c>
      <c r="AL152">
        <v>88</v>
      </c>
      <c r="AM152">
        <v>55614</v>
      </c>
      <c r="AN152">
        <v>161975</v>
      </c>
    </row>
    <row r="153" spans="1:40" x14ac:dyDescent="0.3">
      <c r="A153" s="1">
        <v>42583</v>
      </c>
      <c r="B153">
        <v>2016</v>
      </c>
      <c r="C153" t="s">
        <v>22</v>
      </c>
      <c r="D153">
        <v>8</v>
      </c>
      <c r="E153">
        <v>67275</v>
      </c>
      <c r="F153">
        <v>43607</v>
      </c>
      <c r="G153">
        <v>23668</v>
      </c>
      <c r="H153">
        <v>22168</v>
      </c>
      <c r="I153">
        <v>14744</v>
      </c>
      <c r="J153">
        <v>7424</v>
      </c>
      <c r="K153">
        <v>3.0347798628653901</v>
      </c>
      <c r="L153">
        <v>2.9576098752034699</v>
      </c>
      <c r="M153">
        <v>3.1880387931034502</v>
      </c>
      <c r="N153">
        <v>6448</v>
      </c>
      <c r="O153">
        <v>4289</v>
      </c>
      <c r="P153">
        <v>2159</v>
      </c>
      <c r="Q153">
        <v>55304</v>
      </c>
      <c r="R153">
        <v>30462</v>
      </c>
      <c r="S153">
        <v>55.081006798784898</v>
      </c>
      <c r="T153">
        <v>165912</v>
      </c>
      <c r="U153">
        <v>67275</v>
      </c>
      <c r="V153">
        <v>40.548604079270902</v>
      </c>
      <c r="AF153">
        <v>37</v>
      </c>
      <c r="AG153">
        <v>40796</v>
      </c>
      <c r="AH153">
        <v>108748</v>
      </c>
      <c r="AI153">
        <v>54</v>
      </c>
      <c r="AJ153">
        <v>14508</v>
      </c>
      <c r="AK153">
        <v>57164</v>
      </c>
      <c r="AL153">
        <v>91</v>
      </c>
      <c r="AM153">
        <v>55304</v>
      </c>
      <c r="AN153">
        <v>165912</v>
      </c>
    </row>
    <row r="154" spans="1:40" x14ac:dyDescent="0.3">
      <c r="A154" s="1">
        <v>42614</v>
      </c>
      <c r="B154">
        <v>2016</v>
      </c>
      <c r="C154" t="s">
        <v>23</v>
      </c>
      <c r="D154">
        <v>9</v>
      </c>
      <c r="E154">
        <v>78558</v>
      </c>
      <c r="F154">
        <v>58724</v>
      </c>
      <c r="G154">
        <v>19834</v>
      </c>
      <c r="H154">
        <v>25314</v>
      </c>
      <c r="I154">
        <v>19330</v>
      </c>
      <c r="J154">
        <v>5984</v>
      </c>
      <c r="K154">
        <v>3.1033420241763499</v>
      </c>
      <c r="L154">
        <v>3.03797206414899</v>
      </c>
      <c r="M154">
        <v>3.3145053475935802</v>
      </c>
      <c r="N154">
        <v>0</v>
      </c>
      <c r="O154">
        <v>0</v>
      </c>
      <c r="P154">
        <v>0</v>
      </c>
      <c r="Q154">
        <v>53400</v>
      </c>
      <c r="R154">
        <v>33895</v>
      </c>
      <c r="S154">
        <v>63.473782771535603</v>
      </c>
      <c r="T154">
        <v>156030</v>
      </c>
      <c r="U154">
        <v>78558</v>
      </c>
      <c r="V154">
        <v>50.348009998077302</v>
      </c>
      <c r="AF154">
        <v>37</v>
      </c>
      <c r="AG154">
        <v>39930</v>
      </c>
      <c r="AH154">
        <v>104640</v>
      </c>
      <c r="AI154">
        <v>52</v>
      </c>
      <c r="AJ154">
        <v>13470</v>
      </c>
      <c r="AK154">
        <v>51390</v>
      </c>
      <c r="AL154">
        <v>89</v>
      </c>
      <c r="AM154">
        <v>53400</v>
      </c>
      <c r="AN154">
        <v>156030</v>
      </c>
    </row>
    <row r="155" spans="1:40" x14ac:dyDescent="0.3">
      <c r="A155" s="1">
        <v>42644</v>
      </c>
      <c r="B155">
        <v>2016</v>
      </c>
      <c r="C155" t="s">
        <v>24</v>
      </c>
      <c r="D155">
        <v>10</v>
      </c>
      <c r="E155">
        <v>65567</v>
      </c>
      <c r="F155">
        <v>42100</v>
      </c>
      <c r="G155">
        <v>23467</v>
      </c>
      <c r="H155">
        <v>26693</v>
      </c>
      <c r="I155">
        <v>16259</v>
      </c>
      <c r="J155">
        <v>10434</v>
      </c>
      <c r="K155">
        <v>2.4563368673435</v>
      </c>
      <c r="L155">
        <v>2.5893351374623301</v>
      </c>
      <c r="M155">
        <v>2.2490895150469599</v>
      </c>
      <c r="N155">
        <v>9817</v>
      </c>
      <c r="O155">
        <v>6160</v>
      </c>
      <c r="P155">
        <v>3657</v>
      </c>
      <c r="Q155">
        <v>57257</v>
      </c>
      <c r="R155">
        <v>30959</v>
      </c>
      <c r="S155">
        <v>54.070244686239199</v>
      </c>
      <c r="T155">
        <v>181381</v>
      </c>
      <c r="U155">
        <v>65567</v>
      </c>
      <c r="V155">
        <v>36.148769716784003</v>
      </c>
      <c r="AF155">
        <v>38</v>
      </c>
      <c r="AG155">
        <v>42656</v>
      </c>
      <c r="AH155">
        <v>126418</v>
      </c>
      <c r="AI155">
        <v>59</v>
      </c>
      <c r="AJ155">
        <v>14601</v>
      </c>
      <c r="AK155">
        <v>54963</v>
      </c>
      <c r="AL155">
        <v>97</v>
      </c>
      <c r="AM155">
        <v>57257</v>
      </c>
      <c r="AN155">
        <v>181381</v>
      </c>
    </row>
    <row r="156" spans="1:40" x14ac:dyDescent="0.3">
      <c r="A156" s="1">
        <v>42675</v>
      </c>
      <c r="B156">
        <v>2016</v>
      </c>
      <c r="C156" t="s">
        <v>25</v>
      </c>
      <c r="D156">
        <v>11</v>
      </c>
      <c r="E156">
        <v>77366</v>
      </c>
      <c r="F156">
        <v>35820</v>
      </c>
      <c r="G156">
        <v>41546</v>
      </c>
      <c r="H156">
        <v>33110</v>
      </c>
      <c r="I156">
        <v>14620</v>
      </c>
      <c r="J156">
        <v>18490</v>
      </c>
      <c r="K156">
        <v>2.33663545756569</v>
      </c>
      <c r="L156">
        <v>2.4500683994528001</v>
      </c>
      <c r="M156">
        <v>2.2469442942130899</v>
      </c>
      <c r="N156">
        <v>11570</v>
      </c>
      <c r="O156">
        <v>4671</v>
      </c>
      <c r="P156">
        <v>6899</v>
      </c>
      <c r="Q156">
        <v>56100</v>
      </c>
      <c r="R156">
        <v>35016</v>
      </c>
      <c r="S156">
        <v>62.417112299465202</v>
      </c>
      <c r="T156">
        <v>162420</v>
      </c>
      <c r="U156">
        <v>77366</v>
      </c>
      <c r="V156">
        <v>47.633296392069902</v>
      </c>
      <c r="AF156">
        <v>38</v>
      </c>
      <c r="AG156">
        <v>41670</v>
      </c>
      <c r="AH156">
        <v>108270</v>
      </c>
      <c r="AI156">
        <v>62</v>
      </c>
      <c r="AJ156">
        <v>14430</v>
      </c>
      <c r="AK156">
        <v>54150</v>
      </c>
      <c r="AL156">
        <v>100</v>
      </c>
      <c r="AM156">
        <v>56100</v>
      </c>
      <c r="AN156">
        <v>162420</v>
      </c>
    </row>
    <row r="157" spans="1:40" x14ac:dyDescent="0.3">
      <c r="A157" s="1">
        <v>42705</v>
      </c>
      <c r="B157">
        <v>2016</v>
      </c>
      <c r="C157" t="s">
        <v>26</v>
      </c>
      <c r="D157">
        <v>12</v>
      </c>
      <c r="E157">
        <v>67113</v>
      </c>
      <c r="F157">
        <v>30114</v>
      </c>
      <c r="G157">
        <v>36999</v>
      </c>
      <c r="H157">
        <v>29245</v>
      </c>
      <c r="I157">
        <v>12933</v>
      </c>
      <c r="J157">
        <v>16312</v>
      </c>
      <c r="K157">
        <v>2.2948538211660101</v>
      </c>
      <c r="L157">
        <v>2.3284620737647899</v>
      </c>
      <c r="M157">
        <v>2.2682074546346298</v>
      </c>
      <c r="N157">
        <v>10661</v>
      </c>
      <c r="O157">
        <v>3487</v>
      </c>
      <c r="P157">
        <v>7174</v>
      </c>
      <c r="Q157">
        <v>55851</v>
      </c>
      <c r="R157">
        <v>29891</v>
      </c>
      <c r="S157">
        <v>53.519184974306597</v>
      </c>
      <c r="T157">
        <v>163306</v>
      </c>
      <c r="U157">
        <v>67113</v>
      </c>
      <c r="V157">
        <v>41.096469205050603</v>
      </c>
      <c r="AF157">
        <v>38</v>
      </c>
      <c r="AG157">
        <v>42563</v>
      </c>
      <c r="AH157">
        <v>112096</v>
      </c>
      <c r="AI157">
        <v>64</v>
      </c>
      <c r="AJ157">
        <v>13288</v>
      </c>
      <c r="AK157">
        <v>51210</v>
      </c>
      <c r="AL157">
        <v>102</v>
      </c>
      <c r="AM157">
        <v>55851</v>
      </c>
      <c r="AN157">
        <v>163306</v>
      </c>
    </row>
    <row r="158" spans="1:40" x14ac:dyDescent="0.3">
      <c r="A158" s="1">
        <v>42736</v>
      </c>
      <c r="B158">
        <v>2017</v>
      </c>
      <c r="C158" t="s">
        <v>15</v>
      </c>
      <c r="D158">
        <v>1</v>
      </c>
      <c r="E158">
        <v>96972</v>
      </c>
      <c r="F158">
        <v>49545</v>
      </c>
      <c r="G158">
        <v>47427</v>
      </c>
      <c r="H158">
        <v>42024</v>
      </c>
      <c r="I158">
        <v>19985</v>
      </c>
      <c r="J158">
        <v>22039</v>
      </c>
      <c r="K158">
        <v>2.30753854940034</v>
      </c>
      <c r="L158">
        <v>2.4791093319990001</v>
      </c>
      <c r="M158">
        <v>2.1519578928263501</v>
      </c>
      <c r="N158">
        <v>44717</v>
      </c>
      <c r="O158">
        <v>23596</v>
      </c>
      <c r="P158">
        <v>21121</v>
      </c>
      <c r="Q158">
        <v>55397</v>
      </c>
      <c r="R158">
        <v>41811</v>
      </c>
      <c r="S158">
        <v>75.475206238604997</v>
      </c>
      <c r="T158">
        <v>163525</v>
      </c>
      <c r="U158">
        <v>96972</v>
      </c>
      <c r="V158">
        <v>59.301024308209797</v>
      </c>
      <c r="AF158">
        <v>38</v>
      </c>
      <c r="AG158">
        <v>42129</v>
      </c>
      <c r="AH158">
        <v>109058</v>
      </c>
      <c r="AI158">
        <v>68</v>
      </c>
      <c r="AJ158">
        <v>13268</v>
      </c>
      <c r="AK158">
        <v>54467</v>
      </c>
      <c r="AL158">
        <v>106</v>
      </c>
      <c r="AM158">
        <v>55397</v>
      </c>
      <c r="AN158">
        <v>163525</v>
      </c>
    </row>
    <row r="159" spans="1:40" x14ac:dyDescent="0.3">
      <c r="A159" s="1">
        <v>42767</v>
      </c>
      <c r="B159">
        <v>2017</v>
      </c>
      <c r="C159" t="s">
        <v>16</v>
      </c>
      <c r="D159">
        <v>2</v>
      </c>
      <c r="E159">
        <v>75489</v>
      </c>
      <c r="F159">
        <v>38129</v>
      </c>
      <c r="G159">
        <v>37360</v>
      </c>
      <c r="H159">
        <v>34022</v>
      </c>
      <c r="I159">
        <v>16018</v>
      </c>
      <c r="J159">
        <v>18004</v>
      </c>
      <c r="K159">
        <v>2.21882899300453</v>
      </c>
      <c r="L159">
        <v>2.3803845673617201</v>
      </c>
      <c r="M159">
        <v>2.0750944234614499</v>
      </c>
      <c r="N159">
        <v>36538</v>
      </c>
      <c r="O159">
        <v>19185</v>
      </c>
      <c r="P159">
        <v>17353</v>
      </c>
      <c r="Q159">
        <v>49980</v>
      </c>
      <c r="R159">
        <v>33972</v>
      </c>
      <c r="S159">
        <v>67.971188475390207</v>
      </c>
      <c r="T159">
        <v>147336</v>
      </c>
      <c r="U159">
        <v>75489</v>
      </c>
      <c r="V159">
        <v>51.235950480534299</v>
      </c>
      <c r="AF159">
        <v>38</v>
      </c>
      <c r="AG159">
        <v>38052</v>
      </c>
      <c r="AH159">
        <v>98532</v>
      </c>
      <c r="AI159">
        <v>68</v>
      </c>
      <c r="AJ159">
        <v>11928</v>
      </c>
      <c r="AK159">
        <v>48804</v>
      </c>
      <c r="AL159">
        <v>106</v>
      </c>
      <c r="AM159">
        <v>49980</v>
      </c>
      <c r="AN159">
        <v>147336</v>
      </c>
    </row>
    <row r="160" spans="1:40" x14ac:dyDescent="0.3">
      <c r="A160" s="1">
        <v>42795</v>
      </c>
      <c r="B160">
        <v>2017</v>
      </c>
      <c r="C160" t="s">
        <v>17</v>
      </c>
      <c r="D160">
        <v>3</v>
      </c>
      <c r="E160">
        <v>60203</v>
      </c>
      <c r="F160">
        <v>34221</v>
      </c>
      <c r="G160">
        <v>25982</v>
      </c>
      <c r="H160">
        <v>25694</v>
      </c>
      <c r="I160">
        <v>13401</v>
      </c>
      <c r="J160">
        <v>12293</v>
      </c>
      <c r="K160">
        <v>2.3430762045613802</v>
      </c>
      <c r="L160">
        <v>2.55361540183568</v>
      </c>
      <c r="M160">
        <v>2.11356056292199</v>
      </c>
      <c r="N160">
        <v>22381</v>
      </c>
      <c r="O160">
        <v>11986</v>
      </c>
      <c r="P160">
        <v>10395</v>
      </c>
      <c r="Q160">
        <v>55242</v>
      </c>
      <c r="R160">
        <v>28722</v>
      </c>
      <c r="S160">
        <v>51.9930487672423</v>
      </c>
      <c r="T160">
        <v>163277</v>
      </c>
      <c r="U160">
        <v>60203</v>
      </c>
      <c r="V160">
        <v>36.871696564733597</v>
      </c>
      <c r="AF160">
        <v>38</v>
      </c>
      <c r="AG160">
        <v>42315</v>
      </c>
      <c r="AH160">
        <v>109182</v>
      </c>
      <c r="AI160">
        <v>66</v>
      </c>
      <c r="AJ160">
        <v>12927</v>
      </c>
      <c r="AK160">
        <v>54095</v>
      </c>
      <c r="AL160">
        <v>104</v>
      </c>
      <c r="AM160">
        <v>55242</v>
      </c>
      <c r="AN160">
        <v>163277</v>
      </c>
    </row>
    <row r="161" spans="1:40" x14ac:dyDescent="0.3">
      <c r="A161" s="1">
        <v>42826</v>
      </c>
      <c r="B161">
        <v>2017</v>
      </c>
      <c r="C161" t="s">
        <v>18</v>
      </c>
      <c r="D161">
        <v>4</v>
      </c>
      <c r="E161">
        <v>48129</v>
      </c>
      <c r="F161">
        <v>32650</v>
      </c>
      <c r="G161">
        <v>15479</v>
      </c>
      <c r="H161">
        <v>18571</v>
      </c>
      <c r="I161">
        <v>12290</v>
      </c>
      <c r="J161">
        <v>6281</v>
      </c>
      <c r="K161">
        <v>2.5916213451079599</v>
      </c>
      <c r="L161">
        <v>2.6566314076484998</v>
      </c>
      <c r="M161">
        <v>2.46441649418882</v>
      </c>
      <c r="N161">
        <v>14171</v>
      </c>
      <c r="O161">
        <v>8967</v>
      </c>
      <c r="P161">
        <v>5204</v>
      </c>
      <c r="Q161">
        <v>46440</v>
      </c>
      <c r="R161">
        <v>23086</v>
      </c>
      <c r="S161">
        <v>49.711455641688197</v>
      </c>
      <c r="T161">
        <v>141720</v>
      </c>
      <c r="U161">
        <v>48129</v>
      </c>
      <c r="V161">
        <v>33.960626587637599</v>
      </c>
      <c r="AF161">
        <v>35</v>
      </c>
      <c r="AG161">
        <v>38700</v>
      </c>
      <c r="AH161">
        <v>101460</v>
      </c>
      <c r="AI161">
        <v>42</v>
      </c>
      <c r="AJ161">
        <v>7740</v>
      </c>
      <c r="AK161">
        <v>40260</v>
      </c>
      <c r="AL161">
        <v>77</v>
      </c>
      <c r="AM161">
        <v>46440</v>
      </c>
      <c r="AN161">
        <v>141720</v>
      </c>
    </row>
    <row r="162" spans="1:40" x14ac:dyDescent="0.3">
      <c r="A162" s="1">
        <v>42856</v>
      </c>
      <c r="B162">
        <v>2017</v>
      </c>
      <c r="C162" t="s">
        <v>19</v>
      </c>
      <c r="D162">
        <v>5</v>
      </c>
      <c r="E162">
        <v>27532</v>
      </c>
      <c r="F162">
        <v>19496</v>
      </c>
      <c r="G162">
        <v>8036</v>
      </c>
      <c r="H162">
        <v>10994</v>
      </c>
      <c r="I162">
        <v>7534</v>
      </c>
      <c r="J162">
        <v>3460</v>
      </c>
      <c r="K162">
        <v>2.50427505912316</v>
      </c>
      <c r="L162">
        <v>2.5877355986195898</v>
      </c>
      <c r="M162">
        <v>2.3225433526011598</v>
      </c>
      <c r="N162">
        <v>5832</v>
      </c>
      <c r="O162">
        <v>4777</v>
      </c>
      <c r="P162">
        <v>1055</v>
      </c>
      <c r="Q162">
        <v>45508</v>
      </c>
      <c r="R162">
        <v>13505</v>
      </c>
      <c r="S162">
        <v>29.6761009053353</v>
      </c>
      <c r="T162">
        <v>140709</v>
      </c>
      <c r="U162">
        <v>27532</v>
      </c>
      <c r="V162">
        <v>19.566623314784401</v>
      </c>
      <c r="AF162">
        <v>31</v>
      </c>
      <c r="AG162">
        <v>39556</v>
      </c>
      <c r="AH162">
        <v>102021</v>
      </c>
      <c r="AI162">
        <v>36</v>
      </c>
      <c r="AJ162">
        <v>5952</v>
      </c>
      <c r="AK162">
        <v>38688</v>
      </c>
      <c r="AL162">
        <v>67</v>
      </c>
      <c r="AM162">
        <v>45508</v>
      </c>
      <c r="AN162">
        <v>140709</v>
      </c>
    </row>
    <row r="163" spans="1:40" x14ac:dyDescent="0.3">
      <c r="A163" s="1">
        <v>42887</v>
      </c>
      <c r="B163">
        <v>2017</v>
      </c>
      <c r="C163" t="s">
        <v>20</v>
      </c>
      <c r="D163">
        <v>6</v>
      </c>
      <c r="E163">
        <v>33465</v>
      </c>
      <c r="F163">
        <v>24192</v>
      </c>
      <c r="G163">
        <v>9273</v>
      </c>
      <c r="H163">
        <v>12951</v>
      </c>
      <c r="I163">
        <v>9414</v>
      </c>
      <c r="J163">
        <v>3537</v>
      </c>
      <c r="K163">
        <v>2.58397034977994</v>
      </c>
      <c r="L163">
        <v>2.5697896749522</v>
      </c>
      <c r="M163">
        <v>2.6217133163697999</v>
      </c>
      <c r="N163">
        <v>4352</v>
      </c>
      <c r="O163">
        <v>3573</v>
      </c>
      <c r="P163">
        <v>779</v>
      </c>
      <c r="Q163">
        <v>44130</v>
      </c>
      <c r="R163">
        <v>15702</v>
      </c>
      <c r="S163">
        <v>35.581237253569</v>
      </c>
      <c r="T163">
        <v>138570</v>
      </c>
      <c r="U163">
        <v>33465</v>
      </c>
      <c r="V163">
        <v>24.150248971638899</v>
      </c>
      <c r="AF163">
        <v>34</v>
      </c>
      <c r="AG163">
        <v>38460</v>
      </c>
      <c r="AH163">
        <v>99870</v>
      </c>
      <c r="AI163">
        <v>37</v>
      </c>
      <c r="AJ163">
        <v>5670</v>
      </c>
      <c r="AK163">
        <v>38700</v>
      </c>
      <c r="AL163">
        <v>71</v>
      </c>
      <c r="AM163">
        <v>44130</v>
      </c>
      <c r="AN163">
        <v>138570</v>
      </c>
    </row>
    <row r="164" spans="1:40" x14ac:dyDescent="0.3">
      <c r="A164" s="1">
        <v>42917</v>
      </c>
      <c r="B164">
        <v>2017</v>
      </c>
      <c r="C164" t="s">
        <v>21</v>
      </c>
      <c r="D164">
        <v>7</v>
      </c>
      <c r="E164">
        <v>71228</v>
      </c>
      <c r="F164">
        <v>44174</v>
      </c>
      <c r="G164">
        <v>27054</v>
      </c>
      <c r="H164">
        <v>20955</v>
      </c>
      <c r="I164">
        <v>13227</v>
      </c>
      <c r="J164">
        <v>7728</v>
      </c>
      <c r="K164">
        <v>3.3990932951562902</v>
      </c>
      <c r="L164">
        <v>3.3396839797384099</v>
      </c>
      <c r="M164">
        <v>3.5007763975155299</v>
      </c>
      <c r="N164">
        <v>9203</v>
      </c>
      <c r="O164">
        <v>7782</v>
      </c>
      <c r="P164">
        <v>1421</v>
      </c>
      <c r="Q164">
        <v>47895</v>
      </c>
      <c r="R164">
        <v>29433</v>
      </c>
      <c r="S164">
        <v>61.453178828687797</v>
      </c>
      <c r="T164">
        <v>146444</v>
      </c>
      <c r="U164">
        <v>71228</v>
      </c>
      <c r="V164">
        <v>48.638387369916103</v>
      </c>
      <c r="AF164">
        <v>34</v>
      </c>
      <c r="AG164">
        <v>39773</v>
      </c>
      <c r="AH164">
        <v>103106</v>
      </c>
      <c r="AI164">
        <v>46</v>
      </c>
      <c r="AJ164">
        <v>8122</v>
      </c>
      <c r="AK164">
        <v>43338</v>
      </c>
      <c r="AL164">
        <v>80</v>
      </c>
      <c r="AM164">
        <v>47895</v>
      </c>
      <c r="AN164">
        <v>146444</v>
      </c>
    </row>
    <row r="165" spans="1:40" x14ac:dyDescent="0.3">
      <c r="A165" s="1">
        <v>42948</v>
      </c>
      <c r="B165">
        <v>2017</v>
      </c>
      <c r="C165" t="s">
        <v>22</v>
      </c>
      <c r="D165">
        <v>8</v>
      </c>
      <c r="E165">
        <v>64330</v>
      </c>
      <c r="F165">
        <v>44889</v>
      </c>
      <c r="G165">
        <v>19441</v>
      </c>
      <c r="H165">
        <v>19462</v>
      </c>
      <c r="I165">
        <v>13767</v>
      </c>
      <c r="J165">
        <v>5695</v>
      </c>
      <c r="K165">
        <v>3.3054156818415401</v>
      </c>
      <c r="L165">
        <v>3.2606232294617601</v>
      </c>
      <c r="M165">
        <v>3.41369622475856</v>
      </c>
      <c r="N165">
        <v>7161</v>
      </c>
      <c r="O165">
        <v>6038</v>
      </c>
      <c r="P165">
        <v>1123</v>
      </c>
      <c r="Q165">
        <v>50313</v>
      </c>
      <c r="R165">
        <v>28838</v>
      </c>
      <c r="S165">
        <v>57.3171943632858</v>
      </c>
      <c r="T165">
        <v>152706</v>
      </c>
      <c r="U165">
        <v>64330</v>
      </c>
      <c r="V165">
        <v>42.12670098097</v>
      </c>
      <c r="AF165">
        <v>35</v>
      </c>
      <c r="AG165">
        <v>40021</v>
      </c>
      <c r="AH165">
        <v>104098</v>
      </c>
      <c r="AI165">
        <v>54</v>
      </c>
      <c r="AJ165">
        <v>10292</v>
      </c>
      <c r="AK165">
        <v>48608</v>
      </c>
      <c r="AL165">
        <v>89</v>
      </c>
      <c r="AM165">
        <v>50313</v>
      </c>
      <c r="AN165">
        <v>152706</v>
      </c>
    </row>
    <row r="166" spans="1:40" x14ac:dyDescent="0.3">
      <c r="A166" s="1">
        <v>42979</v>
      </c>
      <c r="B166">
        <v>2017</v>
      </c>
      <c r="C166" t="s">
        <v>23</v>
      </c>
      <c r="D166">
        <v>9</v>
      </c>
      <c r="E166">
        <v>68503</v>
      </c>
      <c r="F166">
        <v>47700</v>
      </c>
      <c r="G166">
        <v>20803</v>
      </c>
      <c r="H166">
        <v>21588</v>
      </c>
      <c r="I166">
        <v>15021</v>
      </c>
      <c r="J166">
        <v>6567</v>
      </c>
      <c r="K166">
        <v>3.1731980730035199</v>
      </c>
      <c r="L166">
        <v>3.1755542240862802</v>
      </c>
      <c r="M166">
        <v>3.1678087406730602</v>
      </c>
      <c r="N166">
        <v>11039</v>
      </c>
      <c r="O166">
        <v>9271</v>
      </c>
      <c r="P166">
        <v>1768</v>
      </c>
      <c r="Q166">
        <v>48360</v>
      </c>
      <c r="R166">
        <v>30463</v>
      </c>
      <c r="S166">
        <v>62.992142266335797</v>
      </c>
      <c r="T166">
        <v>147330</v>
      </c>
      <c r="U166">
        <v>68503</v>
      </c>
      <c r="V166">
        <v>46.496300821285601</v>
      </c>
      <c r="AF166">
        <v>35</v>
      </c>
      <c r="AG166">
        <v>38670</v>
      </c>
      <c r="AH166">
        <v>100980</v>
      </c>
      <c r="AI166">
        <v>51</v>
      </c>
      <c r="AJ166">
        <v>9690</v>
      </c>
      <c r="AK166">
        <v>46350</v>
      </c>
      <c r="AL166">
        <v>86</v>
      </c>
      <c r="AM166">
        <v>48360</v>
      </c>
      <c r="AN166">
        <v>147330</v>
      </c>
    </row>
    <row r="167" spans="1:40" x14ac:dyDescent="0.3">
      <c r="A167" s="1">
        <v>43009</v>
      </c>
      <c r="B167">
        <v>2017</v>
      </c>
      <c r="C167" t="s">
        <v>24</v>
      </c>
      <c r="D167">
        <v>10</v>
      </c>
      <c r="E167">
        <v>60488</v>
      </c>
      <c r="F167">
        <v>35597</v>
      </c>
      <c r="G167">
        <v>24891</v>
      </c>
      <c r="H167">
        <v>24773</v>
      </c>
      <c r="I167">
        <v>14511</v>
      </c>
      <c r="J167">
        <v>10262</v>
      </c>
      <c r="K167">
        <v>2.44169055019578</v>
      </c>
      <c r="L167">
        <v>2.4531045413824</v>
      </c>
      <c r="M167">
        <v>2.4255505749366599</v>
      </c>
      <c r="N167">
        <v>11332</v>
      </c>
      <c r="O167">
        <v>8536</v>
      </c>
      <c r="P167">
        <v>2796</v>
      </c>
      <c r="Q167">
        <v>51677</v>
      </c>
      <c r="R167">
        <v>29925</v>
      </c>
      <c r="S167">
        <v>57.907773284052901</v>
      </c>
      <c r="T167">
        <v>156023</v>
      </c>
      <c r="U167">
        <v>60488</v>
      </c>
      <c r="V167">
        <v>38.7686430846734</v>
      </c>
      <c r="AF167">
        <v>35</v>
      </c>
      <c r="AG167">
        <v>39959</v>
      </c>
      <c r="AH167">
        <v>104191</v>
      </c>
      <c r="AI167">
        <v>61</v>
      </c>
      <c r="AJ167">
        <v>11718</v>
      </c>
      <c r="AK167">
        <v>51832</v>
      </c>
      <c r="AL167">
        <v>96</v>
      </c>
      <c r="AM167">
        <v>51677</v>
      </c>
      <c r="AN167">
        <v>156023</v>
      </c>
    </row>
    <row r="168" spans="1:40" x14ac:dyDescent="0.3">
      <c r="A168" s="1">
        <v>43040</v>
      </c>
      <c r="B168">
        <v>2017</v>
      </c>
      <c r="C168" t="s">
        <v>25</v>
      </c>
      <c r="D168">
        <v>11</v>
      </c>
      <c r="E168">
        <v>72613</v>
      </c>
      <c r="F168">
        <v>35015</v>
      </c>
      <c r="G168">
        <v>37598</v>
      </c>
      <c r="H168">
        <v>32083</v>
      </c>
      <c r="I168">
        <v>14359</v>
      </c>
      <c r="J168">
        <v>17724</v>
      </c>
      <c r="K168">
        <v>2.2632858523205401</v>
      </c>
      <c r="L168">
        <v>2.43854028832091</v>
      </c>
      <c r="M168">
        <v>2.1213044459489998</v>
      </c>
      <c r="N168">
        <v>23981</v>
      </c>
      <c r="O168">
        <v>10118</v>
      </c>
      <c r="P168">
        <v>13863</v>
      </c>
      <c r="Q168">
        <v>52260</v>
      </c>
      <c r="R168">
        <v>35927</v>
      </c>
      <c r="S168">
        <v>68.746651358591706</v>
      </c>
      <c r="T168">
        <v>156240</v>
      </c>
      <c r="U168">
        <v>72613</v>
      </c>
      <c r="V168">
        <v>46.4752944188428</v>
      </c>
      <c r="AF168">
        <v>36</v>
      </c>
      <c r="AG168">
        <v>40140</v>
      </c>
      <c r="AH168">
        <v>104670</v>
      </c>
      <c r="AI168">
        <v>64</v>
      </c>
      <c r="AJ168">
        <v>12120</v>
      </c>
      <c r="AK168">
        <v>51570</v>
      </c>
      <c r="AL168">
        <v>100</v>
      </c>
      <c r="AM168">
        <v>52260</v>
      </c>
      <c r="AN168">
        <v>156240</v>
      </c>
    </row>
    <row r="169" spans="1:40" x14ac:dyDescent="0.3">
      <c r="A169" s="1">
        <v>43070</v>
      </c>
      <c r="B169">
        <v>2017</v>
      </c>
      <c r="C169" t="s">
        <v>26</v>
      </c>
      <c r="D169">
        <v>12</v>
      </c>
      <c r="E169">
        <v>62615</v>
      </c>
      <c r="F169">
        <v>25136</v>
      </c>
      <c r="G169">
        <v>37479</v>
      </c>
      <c r="H169">
        <v>28306</v>
      </c>
      <c r="I169">
        <v>10963</v>
      </c>
      <c r="J169">
        <v>17343</v>
      </c>
      <c r="K169">
        <v>2.2170955017551499</v>
      </c>
      <c r="L169">
        <v>2.2928030648545099</v>
      </c>
      <c r="M169">
        <v>2.16104480193738</v>
      </c>
      <c r="N169">
        <v>29330</v>
      </c>
      <c r="O169">
        <v>11697</v>
      </c>
      <c r="P169">
        <v>17633</v>
      </c>
      <c r="Q169">
        <v>48310</v>
      </c>
      <c r="R169">
        <v>27479</v>
      </c>
      <c r="S169">
        <v>56.880563030428497</v>
      </c>
      <c r="T169">
        <v>145321</v>
      </c>
      <c r="U169">
        <v>61265</v>
      </c>
      <c r="V169">
        <v>42.212422916594903</v>
      </c>
      <c r="AF169">
        <v>33</v>
      </c>
      <c r="AG169">
        <v>35960</v>
      </c>
      <c r="AH169">
        <v>93403</v>
      </c>
      <c r="AI169">
        <v>64</v>
      </c>
      <c r="AJ169">
        <v>12350</v>
      </c>
      <c r="AK169">
        <v>51918</v>
      </c>
      <c r="AL169">
        <v>97</v>
      </c>
      <c r="AM169">
        <v>48310</v>
      </c>
      <c r="AN169">
        <v>145321</v>
      </c>
    </row>
    <row r="170" spans="1:40" x14ac:dyDescent="0.3">
      <c r="A170" s="1">
        <v>43101</v>
      </c>
      <c r="B170">
        <v>2018</v>
      </c>
      <c r="C170" t="s">
        <v>15</v>
      </c>
      <c r="D170">
        <v>1</v>
      </c>
      <c r="E170">
        <v>91521</v>
      </c>
      <c r="F170">
        <v>44214</v>
      </c>
      <c r="G170">
        <v>47307</v>
      </c>
      <c r="H170">
        <v>37910</v>
      </c>
      <c r="I170">
        <v>17142</v>
      </c>
      <c r="J170">
        <v>20768</v>
      </c>
      <c r="K170">
        <v>2.4141651279345799</v>
      </c>
      <c r="L170">
        <v>2.5792789639481999</v>
      </c>
      <c r="M170">
        <v>2.2778794298921401</v>
      </c>
      <c r="N170">
        <v>45895</v>
      </c>
      <c r="O170">
        <v>23842</v>
      </c>
      <c r="P170">
        <v>22053</v>
      </c>
      <c r="Q170">
        <v>54312</v>
      </c>
      <c r="R170">
        <v>40121</v>
      </c>
      <c r="S170">
        <v>73.871335984681096</v>
      </c>
      <c r="T170">
        <v>157573</v>
      </c>
      <c r="U170">
        <v>91521</v>
      </c>
      <c r="V170">
        <v>58.081651044277898</v>
      </c>
      <c r="AF170">
        <v>37</v>
      </c>
      <c r="AG170">
        <v>41943</v>
      </c>
      <c r="AH170">
        <v>106485</v>
      </c>
      <c r="AI170">
        <v>64</v>
      </c>
      <c r="AJ170">
        <v>12369</v>
      </c>
      <c r="AK170">
        <v>51088</v>
      </c>
      <c r="AL170">
        <v>101</v>
      </c>
      <c r="AM170">
        <v>54312</v>
      </c>
      <c r="AN170">
        <v>157573</v>
      </c>
    </row>
    <row r="171" spans="1:40" x14ac:dyDescent="0.3">
      <c r="A171" s="1">
        <v>43132</v>
      </c>
      <c r="B171">
        <v>2018</v>
      </c>
      <c r="C171" t="s">
        <v>16</v>
      </c>
      <c r="D171">
        <v>2</v>
      </c>
      <c r="E171">
        <v>73430</v>
      </c>
      <c r="F171">
        <v>37750</v>
      </c>
      <c r="G171">
        <v>35680</v>
      </c>
      <c r="H171">
        <v>33009</v>
      </c>
      <c r="I171">
        <v>16009</v>
      </c>
      <c r="J171">
        <v>17000</v>
      </c>
      <c r="K171">
        <v>2.2245448211093901</v>
      </c>
      <c r="L171">
        <v>2.3580485976638101</v>
      </c>
      <c r="M171">
        <v>2.0988235294117601</v>
      </c>
      <c r="N171">
        <v>49326</v>
      </c>
      <c r="O171">
        <v>23714</v>
      </c>
      <c r="P171">
        <v>25612</v>
      </c>
      <c r="Q171">
        <v>48468</v>
      </c>
      <c r="R171">
        <v>33587</v>
      </c>
      <c r="S171">
        <v>69.297268300734501</v>
      </c>
      <c r="T171">
        <v>142660</v>
      </c>
      <c r="U171">
        <v>73430</v>
      </c>
      <c r="V171">
        <v>51.472031403336601</v>
      </c>
      <c r="AF171">
        <v>37</v>
      </c>
      <c r="AG171">
        <v>38808</v>
      </c>
      <c r="AH171">
        <v>98504</v>
      </c>
      <c r="AI171">
        <v>59</v>
      </c>
      <c r="AJ171">
        <v>9660</v>
      </c>
      <c r="AK171">
        <v>44156</v>
      </c>
      <c r="AL171">
        <v>96</v>
      </c>
      <c r="AM171">
        <v>48468</v>
      </c>
      <c r="AN171">
        <v>142660</v>
      </c>
    </row>
    <row r="172" spans="1:40" x14ac:dyDescent="0.3">
      <c r="A172" s="1">
        <v>43160</v>
      </c>
      <c r="B172">
        <v>2018</v>
      </c>
      <c r="C172" t="s">
        <v>17</v>
      </c>
      <c r="D172">
        <v>3</v>
      </c>
      <c r="E172">
        <v>70114</v>
      </c>
      <c r="F172">
        <v>38713</v>
      </c>
      <c r="G172">
        <v>31401</v>
      </c>
      <c r="H172">
        <v>31267</v>
      </c>
      <c r="I172">
        <v>16187</v>
      </c>
      <c r="J172">
        <v>15080</v>
      </c>
      <c r="K172">
        <v>2.2424281191032098</v>
      </c>
      <c r="L172">
        <v>2.3916105516772701</v>
      </c>
      <c r="M172">
        <v>2.0822944297082202</v>
      </c>
      <c r="N172">
        <v>36492</v>
      </c>
      <c r="O172">
        <v>19750</v>
      </c>
      <c r="P172">
        <v>16742</v>
      </c>
      <c r="Q172">
        <v>52824</v>
      </c>
      <c r="R172">
        <v>33212</v>
      </c>
      <c r="S172">
        <v>62.872936543995202</v>
      </c>
      <c r="T172">
        <v>154783</v>
      </c>
      <c r="U172">
        <v>70114</v>
      </c>
      <c r="V172">
        <v>45.298256268453301</v>
      </c>
      <c r="AF172">
        <v>37</v>
      </c>
      <c r="AG172">
        <v>42036</v>
      </c>
      <c r="AH172">
        <v>106516</v>
      </c>
      <c r="AI172">
        <v>57</v>
      </c>
      <c r="AJ172">
        <v>10788</v>
      </c>
      <c r="AK172">
        <v>48267</v>
      </c>
      <c r="AL172">
        <v>94</v>
      </c>
      <c r="AM172">
        <v>52824</v>
      </c>
      <c r="AN172">
        <v>154783</v>
      </c>
    </row>
    <row r="173" spans="1:40" x14ac:dyDescent="0.3">
      <c r="A173" s="1">
        <v>43191</v>
      </c>
      <c r="B173">
        <v>2018</v>
      </c>
      <c r="C173" t="s">
        <v>18</v>
      </c>
      <c r="D173">
        <v>4</v>
      </c>
      <c r="E173">
        <v>40574</v>
      </c>
      <c r="F173">
        <v>27657</v>
      </c>
      <c r="G173">
        <v>12917</v>
      </c>
      <c r="H173">
        <v>16734</v>
      </c>
      <c r="I173">
        <v>11158</v>
      </c>
      <c r="J173">
        <v>5576</v>
      </c>
      <c r="K173">
        <v>2.4246444364766302</v>
      </c>
      <c r="L173">
        <v>2.4786700125470502</v>
      </c>
      <c r="M173">
        <v>2.31653515064562</v>
      </c>
      <c r="N173">
        <v>18474</v>
      </c>
      <c r="O173">
        <v>13921</v>
      </c>
      <c r="P173">
        <v>4553</v>
      </c>
      <c r="Q173">
        <v>45748</v>
      </c>
      <c r="R173">
        <v>19224</v>
      </c>
      <c r="S173">
        <v>42.021509137011499</v>
      </c>
      <c r="T173">
        <v>138926</v>
      </c>
      <c r="U173">
        <v>40574</v>
      </c>
      <c r="V173">
        <v>29.205476296733501</v>
      </c>
      <c r="AF173">
        <v>32</v>
      </c>
      <c r="AG173">
        <v>37860</v>
      </c>
      <c r="AH173">
        <v>98040</v>
      </c>
      <c r="AI173">
        <v>45</v>
      </c>
      <c r="AJ173">
        <v>7888</v>
      </c>
      <c r="AK173">
        <v>40886</v>
      </c>
      <c r="AL173">
        <v>77</v>
      </c>
      <c r="AM173">
        <v>45748</v>
      </c>
      <c r="AN173">
        <v>138926</v>
      </c>
    </row>
    <row r="174" spans="1:40" x14ac:dyDescent="0.3">
      <c r="A174" s="1">
        <v>43221</v>
      </c>
      <c r="B174">
        <v>2018</v>
      </c>
      <c r="C174" t="s">
        <v>19</v>
      </c>
      <c r="D174">
        <v>5</v>
      </c>
      <c r="E174">
        <v>24131</v>
      </c>
      <c r="F174">
        <v>17895</v>
      </c>
      <c r="G174">
        <v>6236</v>
      </c>
      <c r="H174">
        <v>9942</v>
      </c>
      <c r="I174">
        <v>7355</v>
      </c>
      <c r="J174">
        <v>2587</v>
      </c>
      <c r="K174">
        <v>2.4271776302554802</v>
      </c>
      <c r="L174">
        <v>2.4330387491502399</v>
      </c>
      <c r="M174">
        <v>2.41051410900657</v>
      </c>
      <c r="N174">
        <v>10531</v>
      </c>
      <c r="O174">
        <v>8510</v>
      </c>
      <c r="P174">
        <v>2021</v>
      </c>
      <c r="Q174">
        <v>40238</v>
      </c>
      <c r="R174">
        <v>12427</v>
      </c>
      <c r="S174">
        <v>30.883741736666799</v>
      </c>
      <c r="T174">
        <v>117118</v>
      </c>
      <c r="U174">
        <v>24131</v>
      </c>
      <c r="V174">
        <v>20.604006215953099</v>
      </c>
      <c r="AF174">
        <v>29</v>
      </c>
      <c r="AG174">
        <v>33728</v>
      </c>
      <c r="AH174">
        <v>83979</v>
      </c>
      <c r="AI174">
        <v>31</v>
      </c>
      <c r="AJ174">
        <v>6510</v>
      </c>
      <c r="AK174">
        <v>33139</v>
      </c>
      <c r="AL174">
        <v>60</v>
      </c>
      <c r="AM174">
        <v>40238</v>
      </c>
      <c r="AN174">
        <v>117118</v>
      </c>
    </row>
    <row r="175" spans="1:40" x14ac:dyDescent="0.3">
      <c r="A175" s="1">
        <v>43252</v>
      </c>
      <c r="B175">
        <v>2018</v>
      </c>
      <c r="C175" t="s">
        <v>20</v>
      </c>
      <c r="D175">
        <v>6</v>
      </c>
      <c r="E175">
        <v>24387</v>
      </c>
      <c r="F175">
        <v>18469</v>
      </c>
      <c r="G175">
        <v>5918</v>
      </c>
      <c r="H175">
        <v>9422</v>
      </c>
      <c r="I175">
        <v>7241</v>
      </c>
      <c r="J175">
        <v>2181</v>
      </c>
      <c r="K175">
        <v>2.5883039694332401</v>
      </c>
      <c r="L175">
        <v>2.55061455600055</v>
      </c>
      <c r="M175">
        <v>2.7134342044933502</v>
      </c>
      <c r="N175">
        <v>7250</v>
      </c>
      <c r="O175">
        <v>6111</v>
      </c>
      <c r="P175">
        <v>1139</v>
      </c>
      <c r="Q175">
        <v>42150</v>
      </c>
      <c r="R175">
        <v>11840</v>
      </c>
      <c r="S175">
        <v>28.090154211150701</v>
      </c>
      <c r="T175">
        <v>129750</v>
      </c>
      <c r="U175">
        <v>24387</v>
      </c>
      <c r="V175">
        <v>18.795375722543401</v>
      </c>
      <c r="AF175">
        <v>31</v>
      </c>
      <c r="AG175">
        <v>35610</v>
      </c>
      <c r="AH175">
        <v>91110</v>
      </c>
      <c r="AI175">
        <v>36</v>
      </c>
      <c r="AJ175">
        <v>6540</v>
      </c>
      <c r="AK175">
        <v>38640</v>
      </c>
      <c r="AL175">
        <v>67</v>
      </c>
      <c r="AM175">
        <v>42150</v>
      </c>
      <c r="AN175">
        <v>129750</v>
      </c>
    </row>
    <row r="176" spans="1:40" x14ac:dyDescent="0.3">
      <c r="A176" s="1">
        <v>43282</v>
      </c>
      <c r="B176">
        <v>2018</v>
      </c>
      <c r="C176" t="s">
        <v>21</v>
      </c>
      <c r="D176">
        <v>7</v>
      </c>
      <c r="E176">
        <v>55221</v>
      </c>
      <c r="F176">
        <v>36679</v>
      </c>
      <c r="G176">
        <v>18542</v>
      </c>
      <c r="H176">
        <v>17108</v>
      </c>
      <c r="I176">
        <v>11797</v>
      </c>
      <c r="J176">
        <v>5311</v>
      </c>
      <c r="K176">
        <v>3.2277881692775301</v>
      </c>
      <c r="L176">
        <v>3.1091803000762899</v>
      </c>
      <c r="M176">
        <v>3.4912445867068298</v>
      </c>
      <c r="N176">
        <v>13899</v>
      </c>
      <c r="O176">
        <v>10548</v>
      </c>
      <c r="P176">
        <v>3351</v>
      </c>
      <c r="Q176">
        <v>49011</v>
      </c>
      <c r="R176">
        <v>23046</v>
      </c>
      <c r="S176">
        <v>47.022097080247299</v>
      </c>
      <c r="T176">
        <v>146537</v>
      </c>
      <c r="U176">
        <v>55221</v>
      </c>
      <c r="V176">
        <v>37.683997898141797</v>
      </c>
      <c r="AF176">
        <v>34</v>
      </c>
      <c r="AG176">
        <v>40238</v>
      </c>
      <c r="AH176">
        <v>101835</v>
      </c>
      <c r="AI176">
        <v>46</v>
      </c>
      <c r="AJ176">
        <v>8773</v>
      </c>
      <c r="AK176">
        <v>44702</v>
      </c>
      <c r="AL176">
        <v>80</v>
      </c>
      <c r="AM176">
        <v>49011</v>
      </c>
      <c r="AN176">
        <v>146537</v>
      </c>
    </row>
    <row r="177" spans="1:40" x14ac:dyDescent="0.3">
      <c r="A177" s="1">
        <v>43313</v>
      </c>
      <c r="B177">
        <v>2018</v>
      </c>
      <c r="C177" t="s">
        <v>22</v>
      </c>
      <c r="D177">
        <v>8</v>
      </c>
      <c r="E177">
        <v>58130</v>
      </c>
      <c r="F177">
        <v>42078</v>
      </c>
      <c r="G177">
        <v>16052</v>
      </c>
      <c r="H177">
        <v>19511</v>
      </c>
      <c r="I177">
        <v>14136</v>
      </c>
      <c r="J177">
        <v>5375</v>
      </c>
      <c r="K177">
        <v>2.9793449848803202</v>
      </c>
      <c r="L177">
        <v>2.9766553480475402</v>
      </c>
      <c r="M177">
        <v>2.9864186046511598</v>
      </c>
      <c r="N177">
        <v>12784</v>
      </c>
      <c r="O177">
        <v>9717</v>
      </c>
      <c r="P177">
        <v>3067</v>
      </c>
      <c r="Q177">
        <v>49691</v>
      </c>
      <c r="R177">
        <v>22745</v>
      </c>
      <c r="S177">
        <v>45.772876376003701</v>
      </c>
      <c r="T177">
        <v>146688</v>
      </c>
      <c r="U177">
        <v>58130</v>
      </c>
      <c r="V177">
        <v>39.628326788830698</v>
      </c>
      <c r="AF177">
        <v>34</v>
      </c>
      <c r="AG177">
        <v>40238</v>
      </c>
      <c r="AH177">
        <v>101835</v>
      </c>
      <c r="AI177">
        <v>50</v>
      </c>
      <c r="AJ177">
        <v>9453</v>
      </c>
      <c r="AK177">
        <v>44853</v>
      </c>
      <c r="AL177">
        <v>84</v>
      </c>
      <c r="AM177">
        <v>49691</v>
      </c>
      <c r="AN177">
        <v>146688</v>
      </c>
    </row>
    <row r="178" spans="1:40" x14ac:dyDescent="0.3">
      <c r="A178" s="1">
        <v>43344</v>
      </c>
      <c r="B178">
        <v>2018</v>
      </c>
      <c r="C178" t="s">
        <v>23</v>
      </c>
      <c r="D178">
        <v>9</v>
      </c>
      <c r="E178">
        <v>72320</v>
      </c>
      <c r="F178">
        <v>55396</v>
      </c>
      <c r="G178">
        <v>16924</v>
      </c>
      <c r="H178">
        <v>25157</v>
      </c>
      <c r="I178">
        <v>19164</v>
      </c>
      <c r="J178">
        <v>5993</v>
      </c>
      <c r="K178">
        <v>2.87474659140597</v>
      </c>
      <c r="L178">
        <v>2.8906282613233101</v>
      </c>
      <c r="M178">
        <v>2.8239612881695302</v>
      </c>
      <c r="N178">
        <v>18051</v>
      </c>
      <c r="O178">
        <v>13947</v>
      </c>
      <c r="P178">
        <v>4104</v>
      </c>
      <c r="Q178">
        <v>47970</v>
      </c>
      <c r="R178">
        <v>28395</v>
      </c>
      <c r="S178">
        <v>59.193245778611598</v>
      </c>
      <c r="T178">
        <v>142095</v>
      </c>
      <c r="U178">
        <v>72320</v>
      </c>
      <c r="V178">
        <v>50.895527639959198</v>
      </c>
      <c r="AF178">
        <v>34</v>
      </c>
      <c r="AG178">
        <v>39060</v>
      </c>
      <c r="AH178">
        <v>98970</v>
      </c>
      <c r="AI178">
        <v>46</v>
      </c>
      <c r="AJ178">
        <v>8910</v>
      </c>
      <c r="AK178">
        <v>43125</v>
      </c>
      <c r="AL178">
        <v>80</v>
      </c>
      <c r="AM178">
        <v>47970</v>
      </c>
      <c r="AN178">
        <v>142095</v>
      </c>
    </row>
    <row r="179" spans="1:40" x14ac:dyDescent="0.3">
      <c r="A179" s="1">
        <v>43374</v>
      </c>
      <c r="B179">
        <v>2018</v>
      </c>
      <c r="C179" t="s">
        <v>24</v>
      </c>
      <c r="D179">
        <v>10</v>
      </c>
      <c r="E179">
        <v>56791</v>
      </c>
      <c r="F179">
        <v>35690</v>
      </c>
      <c r="G179">
        <v>21101</v>
      </c>
      <c r="H179">
        <v>23628</v>
      </c>
      <c r="I179">
        <v>14095</v>
      </c>
      <c r="J179">
        <v>9533</v>
      </c>
      <c r="K179">
        <v>2.4035466395801599</v>
      </c>
      <c r="L179">
        <v>2.5321035828307901</v>
      </c>
      <c r="M179">
        <v>2.21346900241267</v>
      </c>
      <c r="N179">
        <v>32053</v>
      </c>
      <c r="O179">
        <v>21622</v>
      </c>
      <c r="P179">
        <v>10431</v>
      </c>
      <c r="Q179">
        <v>51770</v>
      </c>
      <c r="R179">
        <v>25312</v>
      </c>
      <c r="S179">
        <v>48.893181379177101</v>
      </c>
      <c r="T179">
        <v>150598</v>
      </c>
      <c r="U179">
        <v>56791</v>
      </c>
      <c r="V179">
        <v>37.710328158408501</v>
      </c>
      <c r="AF179">
        <v>37</v>
      </c>
      <c r="AG179">
        <v>41881</v>
      </c>
      <c r="AH179">
        <v>105555</v>
      </c>
      <c r="AI179">
        <v>50</v>
      </c>
      <c r="AJ179">
        <v>9889</v>
      </c>
      <c r="AK179">
        <v>45043</v>
      </c>
      <c r="AL179">
        <v>87</v>
      </c>
      <c r="AM179">
        <v>51770</v>
      </c>
      <c r="AN179">
        <v>150598</v>
      </c>
    </row>
    <row r="180" spans="1:40" x14ac:dyDescent="0.3">
      <c r="A180" s="1">
        <v>43405</v>
      </c>
      <c r="B180">
        <v>2018</v>
      </c>
      <c r="C180" t="s">
        <v>25</v>
      </c>
      <c r="D180">
        <v>11</v>
      </c>
      <c r="E180">
        <v>73591</v>
      </c>
      <c r="F180">
        <v>35203</v>
      </c>
      <c r="G180">
        <v>38388</v>
      </c>
      <c r="H180">
        <v>33471</v>
      </c>
      <c r="I180">
        <v>15078</v>
      </c>
      <c r="J180">
        <v>18393</v>
      </c>
      <c r="K180">
        <v>2.1986495772459702</v>
      </c>
      <c r="L180">
        <v>2.3347260909935001</v>
      </c>
      <c r="M180">
        <v>2.08709835263415</v>
      </c>
      <c r="N180">
        <v>42090</v>
      </c>
      <c r="O180">
        <v>18321</v>
      </c>
      <c r="P180">
        <v>23769</v>
      </c>
      <c r="Q180">
        <v>50960</v>
      </c>
      <c r="R180">
        <v>29006</v>
      </c>
      <c r="S180">
        <v>56.919152276295101</v>
      </c>
      <c r="T180">
        <v>148810</v>
      </c>
      <c r="U180">
        <v>73591</v>
      </c>
      <c r="V180">
        <v>49.452993750419999</v>
      </c>
      <c r="AF180">
        <v>37</v>
      </c>
      <c r="AG180">
        <v>40440</v>
      </c>
      <c r="AH180">
        <v>102450</v>
      </c>
      <c r="AI180">
        <v>55</v>
      </c>
      <c r="AJ180">
        <v>10520</v>
      </c>
      <c r="AK180">
        <v>46360</v>
      </c>
      <c r="AL180">
        <v>92</v>
      </c>
      <c r="AM180">
        <v>50960</v>
      </c>
      <c r="AN180">
        <v>148810</v>
      </c>
    </row>
    <row r="181" spans="1:40" x14ac:dyDescent="0.3">
      <c r="A181" s="1">
        <v>43435</v>
      </c>
      <c r="B181">
        <v>2018</v>
      </c>
      <c r="C181" t="s">
        <v>26</v>
      </c>
      <c r="D181">
        <v>12</v>
      </c>
      <c r="E181">
        <v>74306</v>
      </c>
      <c r="F181">
        <v>33342</v>
      </c>
      <c r="G181">
        <v>40964</v>
      </c>
      <c r="H181">
        <v>34008</v>
      </c>
      <c r="I181">
        <v>14557</v>
      </c>
      <c r="J181">
        <v>19451</v>
      </c>
      <c r="K181">
        <v>2.1849564808280402</v>
      </c>
      <c r="L181">
        <v>2.2904444597101099</v>
      </c>
      <c r="M181">
        <v>2.10600997378027</v>
      </c>
      <c r="N181">
        <v>47625</v>
      </c>
      <c r="O181">
        <v>18122</v>
      </c>
      <c r="P181">
        <v>29503</v>
      </c>
      <c r="Q181">
        <v>52605</v>
      </c>
      <c r="R181">
        <v>28235</v>
      </c>
      <c r="S181">
        <v>53.673605170611197</v>
      </c>
      <c r="T181">
        <v>152764</v>
      </c>
      <c r="U181">
        <v>74306</v>
      </c>
      <c r="V181">
        <v>48.641041082977701</v>
      </c>
      <c r="AF181">
        <v>37</v>
      </c>
      <c r="AG181">
        <v>41943</v>
      </c>
      <c r="AH181">
        <v>105896</v>
      </c>
      <c r="AI181">
        <v>53</v>
      </c>
      <c r="AJ181">
        <v>10662</v>
      </c>
      <c r="AK181">
        <v>46868</v>
      </c>
      <c r="AL181">
        <v>90</v>
      </c>
      <c r="AM181">
        <v>52605</v>
      </c>
      <c r="AN181">
        <v>152764</v>
      </c>
    </row>
    <row r="182" spans="1:40" x14ac:dyDescent="0.3">
      <c r="A182" s="1">
        <v>43466</v>
      </c>
      <c r="B182">
        <v>2019</v>
      </c>
      <c r="C182" t="s">
        <v>15</v>
      </c>
      <c r="D182">
        <v>1</v>
      </c>
      <c r="E182">
        <v>98642</v>
      </c>
      <c r="F182">
        <v>43690</v>
      </c>
      <c r="G182">
        <v>54952</v>
      </c>
      <c r="H182">
        <v>40785</v>
      </c>
      <c r="I182">
        <v>16064</v>
      </c>
      <c r="J182">
        <v>24721</v>
      </c>
      <c r="K182">
        <v>2.4</v>
      </c>
      <c r="L182">
        <v>2.7</v>
      </c>
      <c r="M182">
        <v>2.2000000000000002</v>
      </c>
      <c r="N182">
        <v>69939</v>
      </c>
      <c r="O182">
        <v>34607</v>
      </c>
      <c r="P182">
        <v>35332</v>
      </c>
      <c r="Q182">
        <v>54898</v>
      </c>
      <c r="R182">
        <v>37126</v>
      </c>
      <c r="S182">
        <v>67.627235964880299</v>
      </c>
      <c r="T182">
        <v>157939</v>
      </c>
      <c r="U182">
        <v>98642</v>
      </c>
      <c r="V182">
        <v>62.455758235774603</v>
      </c>
      <c r="AF182">
        <v>37</v>
      </c>
      <c r="AG182">
        <v>42687</v>
      </c>
      <c r="AH182">
        <v>107260</v>
      </c>
      <c r="AI182">
        <v>62</v>
      </c>
      <c r="AJ182">
        <v>12211</v>
      </c>
      <c r="AK182">
        <v>50679</v>
      </c>
      <c r="AL182">
        <v>99</v>
      </c>
      <c r="AM182">
        <v>54898</v>
      </c>
      <c r="AN182">
        <v>157939</v>
      </c>
    </row>
    <row r="183" spans="1:40" x14ac:dyDescent="0.3">
      <c r="A183" s="1">
        <v>43497</v>
      </c>
      <c r="B183">
        <v>2019</v>
      </c>
      <c r="C183" t="s">
        <v>16</v>
      </c>
      <c r="D183">
        <v>2</v>
      </c>
      <c r="E183">
        <v>77013</v>
      </c>
      <c r="F183">
        <v>38596</v>
      </c>
      <c r="G183">
        <v>38417</v>
      </c>
      <c r="H183">
        <v>34245</v>
      </c>
      <c r="I183">
        <v>15883</v>
      </c>
      <c r="J183">
        <v>18362</v>
      </c>
      <c r="K183">
        <v>2.2000000000000002</v>
      </c>
      <c r="L183">
        <v>2.4</v>
      </c>
      <c r="M183">
        <v>2.1</v>
      </c>
      <c r="N183">
        <v>58319</v>
      </c>
      <c r="O183">
        <v>24921</v>
      </c>
      <c r="P183">
        <v>33398</v>
      </c>
      <c r="Q183">
        <v>51061</v>
      </c>
      <c r="R183">
        <v>30434</v>
      </c>
      <c r="S183">
        <v>59.603219678423898</v>
      </c>
      <c r="T183">
        <v>142513</v>
      </c>
      <c r="U183">
        <v>77013</v>
      </c>
      <c r="V183">
        <v>54.0392806270305</v>
      </c>
      <c r="AF183">
        <v>37</v>
      </c>
      <c r="AG183">
        <v>39592</v>
      </c>
      <c r="AH183">
        <v>98504</v>
      </c>
      <c r="AI183">
        <v>60</v>
      </c>
      <c r="AJ183">
        <v>11469</v>
      </c>
      <c r="AK183">
        <v>44009</v>
      </c>
      <c r="AL183">
        <v>97</v>
      </c>
      <c r="AM183">
        <v>51061</v>
      </c>
      <c r="AN183">
        <v>142513</v>
      </c>
    </row>
    <row r="184" spans="1:40" x14ac:dyDescent="0.3">
      <c r="A184" s="1">
        <v>43525</v>
      </c>
      <c r="B184">
        <v>2019</v>
      </c>
      <c r="C184" t="s">
        <v>17</v>
      </c>
      <c r="D184">
        <v>3</v>
      </c>
      <c r="E184">
        <v>73923</v>
      </c>
      <c r="F184">
        <v>36686</v>
      </c>
      <c r="G184">
        <v>37237</v>
      </c>
      <c r="H184">
        <v>34315</v>
      </c>
      <c r="I184">
        <v>15973</v>
      </c>
      <c r="J184">
        <v>18342</v>
      </c>
      <c r="K184">
        <v>2.2000000000000002</v>
      </c>
      <c r="L184">
        <v>2.2999999999999998</v>
      </c>
      <c r="M184">
        <v>2</v>
      </c>
      <c r="N184">
        <v>42847</v>
      </c>
      <c r="O184">
        <v>20195</v>
      </c>
      <c r="P184">
        <v>22652</v>
      </c>
      <c r="Q184">
        <v>54486</v>
      </c>
      <c r="R184">
        <v>29641</v>
      </c>
      <c r="S184">
        <v>54.4011305656499</v>
      </c>
      <c r="T184">
        <v>150062</v>
      </c>
      <c r="U184">
        <v>73923</v>
      </c>
      <c r="V184">
        <v>49.261638522743901</v>
      </c>
      <c r="AF184">
        <v>37</v>
      </c>
      <c r="AG184">
        <v>42470</v>
      </c>
      <c r="AH184">
        <v>105772</v>
      </c>
      <c r="AI184">
        <v>55</v>
      </c>
      <c r="AJ184">
        <v>12016</v>
      </c>
      <c r="AK184">
        <v>44290</v>
      </c>
      <c r="AL184">
        <v>92</v>
      </c>
      <c r="AM184">
        <v>54486</v>
      </c>
      <c r="AN184">
        <v>150062</v>
      </c>
    </row>
    <row r="185" spans="1:40" x14ac:dyDescent="0.3">
      <c r="A185" s="1">
        <v>43556</v>
      </c>
      <c r="B185">
        <v>2019</v>
      </c>
      <c r="C185" t="s">
        <v>18</v>
      </c>
      <c r="D185">
        <v>4</v>
      </c>
      <c r="E185">
        <v>48062</v>
      </c>
      <c r="F185">
        <v>28287</v>
      </c>
      <c r="G185">
        <v>19775</v>
      </c>
      <c r="H185">
        <v>21722</v>
      </c>
      <c r="I185">
        <v>12190</v>
      </c>
      <c r="J185">
        <v>9532</v>
      </c>
      <c r="K185">
        <v>2.2000000000000002</v>
      </c>
      <c r="L185">
        <v>2.2999999999999998</v>
      </c>
      <c r="M185">
        <v>2.1</v>
      </c>
      <c r="N185">
        <v>22408</v>
      </c>
      <c r="O185">
        <v>14859</v>
      </c>
      <c r="P185">
        <v>7549</v>
      </c>
      <c r="Q185">
        <v>49524</v>
      </c>
      <c r="R185">
        <v>20345</v>
      </c>
      <c r="S185">
        <v>41.081091995800001</v>
      </c>
      <c r="T185">
        <v>134898</v>
      </c>
      <c r="U185">
        <v>48062</v>
      </c>
      <c r="V185">
        <v>35.628400717579197</v>
      </c>
      <c r="AF185">
        <v>34</v>
      </c>
      <c r="AG185">
        <v>39690</v>
      </c>
      <c r="AH185">
        <v>99390</v>
      </c>
      <c r="AI185">
        <v>45</v>
      </c>
      <c r="AJ185">
        <v>9834</v>
      </c>
      <c r="AK185">
        <v>35508</v>
      </c>
      <c r="AL185">
        <v>79</v>
      </c>
      <c r="AM185">
        <v>49524</v>
      </c>
      <c r="AN185">
        <v>134898</v>
      </c>
    </row>
    <row r="186" spans="1:40" x14ac:dyDescent="0.3">
      <c r="A186" s="1">
        <v>43586</v>
      </c>
      <c r="B186">
        <v>2019</v>
      </c>
      <c r="C186" t="s">
        <v>19</v>
      </c>
      <c r="D186">
        <v>5</v>
      </c>
      <c r="E186">
        <v>29558</v>
      </c>
      <c r="F186">
        <v>20964</v>
      </c>
      <c r="G186">
        <v>8594</v>
      </c>
      <c r="H186">
        <v>11885</v>
      </c>
      <c r="I186">
        <v>8446</v>
      </c>
      <c r="J186">
        <v>3439</v>
      </c>
      <c r="K186">
        <v>2.5</v>
      </c>
      <c r="L186">
        <v>2.5</v>
      </c>
      <c r="M186">
        <v>2.5</v>
      </c>
      <c r="N186">
        <v>9833</v>
      </c>
      <c r="O186">
        <v>7951</v>
      </c>
      <c r="P186">
        <v>1882</v>
      </c>
      <c r="Q186">
        <v>43485</v>
      </c>
      <c r="R186">
        <v>12744</v>
      </c>
      <c r="S186">
        <v>29.3066574680924</v>
      </c>
      <c r="T186">
        <v>118111</v>
      </c>
      <c r="U186">
        <v>29558</v>
      </c>
      <c r="V186">
        <v>25.025611501045599</v>
      </c>
      <c r="AF186">
        <v>29</v>
      </c>
      <c r="AG186">
        <v>36479</v>
      </c>
      <c r="AH186">
        <v>89033</v>
      </c>
      <c r="AI186">
        <v>29</v>
      </c>
      <c r="AJ186">
        <v>7006</v>
      </c>
      <c r="AK186">
        <v>29078</v>
      </c>
      <c r="AL186">
        <v>58</v>
      </c>
      <c r="AM186">
        <v>43485</v>
      </c>
      <c r="AN186">
        <v>118111</v>
      </c>
    </row>
    <row r="187" spans="1:40" x14ac:dyDescent="0.3">
      <c r="A187" s="1">
        <v>43617</v>
      </c>
      <c r="B187">
        <v>2019</v>
      </c>
      <c r="C187" t="s">
        <v>20</v>
      </c>
      <c r="D187">
        <v>6</v>
      </c>
      <c r="E187">
        <v>35308</v>
      </c>
      <c r="F187">
        <v>25218</v>
      </c>
      <c r="G187">
        <v>10090</v>
      </c>
      <c r="H187">
        <v>13570</v>
      </c>
      <c r="I187">
        <v>9841</v>
      </c>
      <c r="J187">
        <v>3729</v>
      </c>
      <c r="K187">
        <v>2.6</v>
      </c>
      <c r="L187">
        <v>2.6</v>
      </c>
      <c r="M187">
        <v>2.7</v>
      </c>
      <c r="N187">
        <v>11865</v>
      </c>
      <c r="O187">
        <v>9826</v>
      </c>
      <c r="P187">
        <v>2039</v>
      </c>
      <c r="Q187">
        <v>44670</v>
      </c>
      <c r="R187">
        <v>16420</v>
      </c>
      <c r="S187">
        <v>36.758450861876</v>
      </c>
      <c r="T187">
        <v>115872</v>
      </c>
      <c r="U187">
        <v>35308</v>
      </c>
      <c r="V187">
        <v>30.4715548191107</v>
      </c>
      <c r="AF187">
        <v>31</v>
      </c>
      <c r="AG187">
        <v>37500</v>
      </c>
      <c r="AH187">
        <v>90582</v>
      </c>
      <c r="AI187">
        <v>30</v>
      </c>
      <c r="AJ187">
        <v>7170</v>
      </c>
      <c r="AK187">
        <v>25290</v>
      </c>
      <c r="AL187">
        <v>61</v>
      </c>
      <c r="AM187">
        <v>44670</v>
      </c>
      <c r="AN187">
        <v>115872</v>
      </c>
    </row>
    <row r="188" spans="1:40" x14ac:dyDescent="0.3">
      <c r="A188" s="1">
        <v>43647</v>
      </c>
      <c r="B188">
        <v>2019</v>
      </c>
      <c r="C188" t="s">
        <v>21</v>
      </c>
      <c r="D188">
        <v>7</v>
      </c>
      <c r="E188">
        <v>74887</v>
      </c>
      <c r="F188">
        <v>44791</v>
      </c>
      <c r="G188">
        <v>30096</v>
      </c>
      <c r="H188">
        <v>23705</v>
      </c>
      <c r="I188">
        <v>15016</v>
      </c>
      <c r="J188">
        <v>8689</v>
      </c>
      <c r="K188">
        <v>3.2</v>
      </c>
      <c r="L188">
        <v>3</v>
      </c>
      <c r="M188">
        <v>3.5</v>
      </c>
      <c r="N188">
        <v>19211</v>
      </c>
      <c r="O188">
        <v>15513</v>
      </c>
      <c r="P188">
        <v>3698</v>
      </c>
      <c r="Q188">
        <v>50638</v>
      </c>
      <c r="R188">
        <v>32685</v>
      </c>
      <c r="S188">
        <v>64.546388087997201</v>
      </c>
      <c r="T188">
        <v>137272</v>
      </c>
      <c r="U188">
        <v>74887</v>
      </c>
      <c r="V188">
        <v>54.553732735007898</v>
      </c>
      <c r="AF188">
        <v>32</v>
      </c>
      <c r="AG188">
        <v>40455</v>
      </c>
      <c r="AH188">
        <v>101277</v>
      </c>
      <c r="AI188">
        <v>49</v>
      </c>
      <c r="AJ188">
        <v>10183</v>
      </c>
      <c r="AK188">
        <v>35995</v>
      </c>
      <c r="AL188">
        <v>81</v>
      </c>
      <c r="AM188">
        <v>50638</v>
      </c>
      <c r="AN188">
        <v>137272</v>
      </c>
    </row>
    <row r="189" spans="1:40" x14ac:dyDescent="0.3">
      <c r="A189" s="1">
        <v>43678</v>
      </c>
      <c r="B189">
        <v>2019</v>
      </c>
      <c r="C189" t="s">
        <v>22</v>
      </c>
      <c r="D189">
        <v>8</v>
      </c>
      <c r="E189">
        <v>75712</v>
      </c>
      <c r="F189">
        <v>47512</v>
      </c>
      <c r="G189">
        <v>28200</v>
      </c>
      <c r="H189">
        <v>25744</v>
      </c>
      <c r="I189">
        <v>15861</v>
      </c>
      <c r="J189">
        <v>9883</v>
      </c>
      <c r="K189">
        <v>2.9</v>
      </c>
      <c r="L189">
        <v>3</v>
      </c>
      <c r="M189">
        <v>2.9</v>
      </c>
      <c r="N189">
        <v>16011</v>
      </c>
      <c r="O189">
        <v>12001</v>
      </c>
      <c r="P189">
        <v>4010</v>
      </c>
      <c r="Q189">
        <v>50866</v>
      </c>
      <c r="R189">
        <v>34986</v>
      </c>
      <c r="S189">
        <v>68.780717964848805</v>
      </c>
      <c r="T189">
        <v>138560</v>
      </c>
      <c r="U189">
        <v>75712</v>
      </c>
      <c r="V189">
        <v>54.642032332563502</v>
      </c>
      <c r="AF189">
        <v>32</v>
      </c>
      <c r="AG189">
        <v>40486</v>
      </c>
      <c r="AH189">
        <v>101246</v>
      </c>
      <c r="AI189">
        <v>48</v>
      </c>
      <c r="AJ189">
        <v>10380</v>
      </c>
      <c r="AK189">
        <v>37314</v>
      </c>
      <c r="AL189">
        <v>80</v>
      </c>
      <c r="AM189">
        <v>50866</v>
      </c>
      <c r="AN189">
        <v>138560</v>
      </c>
    </row>
    <row r="190" spans="1:40" x14ac:dyDescent="0.3">
      <c r="A190" s="1">
        <v>43709</v>
      </c>
      <c r="B190">
        <v>2019</v>
      </c>
      <c r="C190" t="s">
        <v>23</v>
      </c>
      <c r="D190">
        <v>9</v>
      </c>
      <c r="E190">
        <v>77179</v>
      </c>
      <c r="F190">
        <v>54531</v>
      </c>
      <c r="G190">
        <v>22648</v>
      </c>
      <c r="H190">
        <v>27006</v>
      </c>
      <c r="I190">
        <v>19363</v>
      </c>
      <c r="J190">
        <v>7643</v>
      </c>
      <c r="K190">
        <v>2.9</v>
      </c>
      <c r="L190">
        <v>2.8</v>
      </c>
      <c r="M190">
        <v>3</v>
      </c>
      <c r="N190">
        <v>20741</v>
      </c>
      <c r="O190">
        <v>16064</v>
      </c>
      <c r="P190">
        <v>4677</v>
      </c>
      <c r="Q190">
        <v>49890</v>
      </c>
      <c r="R190">
        <v>35249</v>
      </c>
      <c r="S190">
        <v>70.653437562637805</v>
      </c>
      <c r="T190">
        <v>137154</v>
      </c>
      <c r="U190">
        <v>77179</v>
      </c>
      <c r="V190">
        <v>56.271782084372298</v>
      </c>
      <c r="AF190">
        <v>32</v>
      </c>
      <c r="AG190">
        <v>39480</v>
      </c>
      <c r="AH190">
        <v>98700</v>
      </c>
      <c r="AI190">
        <v>51</v>
      </c>
      <c r="AJ190">
        <v>10410</v>
      </c>
      <c r="AK190">
        <v>38454</v>
      </c>
      <c r="AL190">
        <v>83</v>
      </c>
      <c r="AM190">
        <v>49890</v>
      </c>
      <c r="AN190">
        <v>137154</v>
      </c>
    </row>
    <row r="191" spans="1:40" x14ac:dyDescent="0.3">
      <c r="A191" s="1">
        <v>43739</v>
      </c>
      <c r="B191">
        <v>2019</v>
      </c>
      <c r="C191" t="s">
        <v>24</v>
      </c>
      <c r="D191">
        <v>10</v>
      </c>
      <c r="E191">
        <v>70458</v>
      </c>
      <c r="F191">
        <v>40214</v>
      </c>
      <c r="G191">
        <v>30244</v>
      </c>
      <c r="H191">
        <v>30439</v>
      </c>
      <c r="I191">
        <v>16631</v>
      </c>
      <c r="J191">
        <v>13808</v>
      </c>
      <c r="K191">
        <v>2.2999999999999998</v>
      </c>
      <c r="L191">
        <v>2.4</v>
      </c>
      <c r="M191">
        <v>2.2000000000000002</v>
      </c>
      <c r="N191">
        <v>23023</v>
      </c>
      <c r="O191">
        <v>16576</v>
      </c>
      <c r="P191">
        <v>6447</v>
      </c>
      <c r="Q191">
        <v>52738</v>
      </c>
      <c r="R191">
        <v>34358</v>
      </c>
      <c r="S191">
        <v>65.148469794076405</v>
      </c>
      <c r="T191">
        <v>146365</v>
      </c>
      <c r="U191">
        <v>70458</v>
      </c>
      <c r="V191">
        <v>48.138557715300799</v>
      </c>
      <c r="AF191">
        <v>35</v>
      </c>
      <c r="AG191">
        <v>42129</v>
      </c>
      <c r="AH191">
        <v>104284</v>
      </c>
      <c r="AI191">
        <v>58</v>
      </c>
      <c r="AJ191">
        <v>10609</v>
      </c>
      <c r="AK191">
        <v>42081</v>
      </c>
      <c r="AL191">
        <v>93</v>
      </c>
      <c r="AM191">
        <v>52738</v>
      </c>
      <c r="AN191">
        <v>146365</v>
      </c>
    </row>
    <row r="192" spans="1:40" x14ac:dyDescent="0.3">
      <c r="A192" s="1">
        <v>43770</v>
      </c>
      <c r="B192">
        <v>2019</v>
      </c>
      <c r="C192" t="s">
        <v>25</v>
      </c>
      <c r="D192">
        <v>11</v>
      </c>
      <c r="E192">
        <v>77990</v>
      </c>
      <c r="F192">
        <v>32110</v>
      </c>
      <c r="G192">
        <v>45880</v>
      </c>
      <c r="H192">
        <v>36542</v>
      </c>
      <c r="I192">
        <v>13799</v>
      </c>
      <c r="J192">
        <v>22743</v>
      </c>
      <c r="K192">
        <v>2.1</v>
      </c>
      <c r="L192">
        <v>2.2999999999999998</v>
      </c>
      <c r="M192">
        <v>2</v>
      </c>
      <c r="N192">
        <v>54459</v>
      </c>
      <c r="O192">
        <v>26431</v>
      </c>
      <c r="P192">
        <v>28028</v>
      </c>
      <c r="Q192">
        <v>52140</v>
      </c>
      <c r="R192">
        <v>37984</v>
      </c>
      <c r="S192">
        <v>72.850019179133099</v>
      </c>
      <c r="T192">
        <v>144270</v>
      </c>
      <c r="U192">
        <v>78022</v>
      </c>
      <c r="V192">
        <v>54.080543425521597</v>
      </c>
      <c r="AF192">
        <v>35</v>
      </c>
      <c r="AG192">
        <v>40770</v>
      </c>
      <c r="AH192">
        <v>101940</v>
      </c>
      <c r="AI192">
        <v>58</v>
      </c>
      <c r="AJ192">
        <v>11370</v>
      </c>
      <c r="AK192">
        <v>42330</v>
      </c>
      <c r="AL192">
        <v>93</v>
      </c>
      <c r="AM192">
        <v>52140</v>
      </c>
      <c r="AN192">
        <v>144270</v>
      </c>
    </row>
    <row r="193" spans="1:40" x14ac:dyDescent="0.3">
      <c r="A193" s="1">
        <v>43800</v>
      </c>
      <c r="B193">
        <v>2019</v>
      </c>
      <c r="C193" t="s">
        <v>26</v>
      </c>
      <c r="D193">
        <v>12</v>
      </c>
      <c r="E193">
        <v>78201</v>
      </c>
      <c r="F193">
        <v>33568</v>
      </c>
      <c r="G193">
        <v>44633</v>
      </c>
      <c r="H193">
        <v>33843</v>
      </c>
      <c r="I193">
        <v>14274</v>
      </c>
      <c r="J193">
        <v>19569</v>
      </c>
      <c r="K193">
        <v>2.2999999999999998</v>
      </c>
      <c r="L193">
        <v>2.4</v>
      </c>
      <c r="M193">
        <v>2.2999999999999998</v>
      </c>
      <c r="N193">
        <v>60291</v>
      </c>
      <c r="O193">
        <v>24948</v>
      </c>
      <c r="P193">
        <v>35343</v>
      </c>
      <c r="Q193">
        <v>53723</v>
      </c>
      <c r="R193">
        <v>36885</v>
      </c>
      <c r="S193">
        <v>68.657744355304104</v>
      </c>
      <c r="T193">
        <v>145328</v>
      </c>
      <c r="U193">
        <v>77307</v>
      </c>
      <c r="V193">
        <v>53.1948420125509</v>
      </c>
      <c r="AF193">
        <v>35</v>
      </c>
      <c r="AG193">
        <v>42253</v>
      </c>
      <c r="AH193">
        <v>102052</v>
      </c>
      <c r="AI193">
        <v>57</v>
      </c>
      <c r="AJ193">
        <v>11470</v>
      </c>
      <c r="AK193">
        <v>43276</v>
      </c>
      <c r="AL193">
        <v>92</v>
      </c>
      <c r="AM193">
        <v>53723</v>
      </c>
      <c r="AN193">
        <v>145328</v>
      </c>
    </row>
    <row r="194" spans="1:40" x14ac:dyDescent="0.3">
      <c r="A194" s="1">
        <v>43831</v>
      </c>
      <c r="B194">
        <v>2020</v>
      </c>
      <c r="C194" t="s">
        <v>15</v>
      </c>
      <c r="D194">
        <v>1</v>
      </c>
      <c r="E194">
        <v>96648</v>
      </c>
      <c r="F194">
        <v>50224</v>
      </c>
      <c r="G194">
        <v>46424</v>
      </c>
      <c r="H194">
        <v>40491</v>
      </c>
      <c r="I194">
        <v>20151</v>
      </c>
      <c r="J194">
        <v>20340</v>
      </c>
      <c r="K194">
        <v>2.4</v>
      </c>
      <c r="L194">
        <v>2.5</v>
      </c>
      <c r="M194">
        <v>2.2999999999999998</v>
      </c>
      <c r="N194">
        <v>55760</v>
      </c>
      <c r="O194">
        <v>13327</v>
      </c>
      <c r="P194">
        <v>42433</v>
      </c>
      <c r="Q194">
        <v>55273</v>
      </c>
      <c r="R194">
        <v>44337</v>
      </c>
      <c r="S194">
        <v>80.2</v>
      </c>
      <c r="T194">
        <v>151435</v>
      </c>
      <c r="U194">
        <v>96648</v>
      </c>
      <c r="V194">
        <v>63.8</v>
      </c>
      <c r="AF194">
        <v>36</v>
      </c>
      <c r="AG194">
        <v>43276</v>
      </c>
      <c r="AH194">
        <v>107880</v>
      </c>
      <c r="AI194">
        <v>57</v>
      </c>
      <c r="AJ194">
        <v>11997</v>
      </c>
      <c r="AK194">
        <v>43555</v>
      </c>
      <c r="AL194">
        <v>93</v>
      </c>
      <c r="AM194">
        <v>55273</v>
      </c>
      <c r="AN194">
        <v>151435</v>
      </c>
    </row>
    <row r="195" spans="1:40" x14ac:dyDescent="0.3">
      <c r="A195" s="1">
        <v>43862</v>
      </c>
      <c r="B195">
        <v>2020</v>
      </c>
      <c r="C195" t="s">
        <v>16</v>
      </c>
      <c r="D195">
        <v>2</v>
      </c>
      <c r="E195">
        <v>88221</v>
      </c>
      <c r="F195">
        <v>43501</v>
      </c>
      <c r="G195">
        <v>44720</v>
      </c>
      <c r="H195">
        <v>39287</v>
      </c>
      <c r="I195">
        <v>18489</v>
      </c>
      <c r="J195">
        <v>20798</v>
      </c>
      <c r="K195">
        <v>2.2000000000000002</v>
      </c>
      <c r="L195">
        <v>2.4</v>
      </c>
      <c r="M195">
        <v>2.2000000000000002</v>
      </c>
      <c r="N195">
        <v>46392</v>
      </c>
      <c r="O195">
        <v>10714</v>
      </c>
      <c r="P195">
        <v>35678</v>
      </c>
      <c r="Q195">
        <v>55796</v>
      </c>
      <c r="R195">
        <v>41598</v>
      </c>
      <c r="S195">
        <v>74.599999999999994</v>
      </c>
      <c r="T195">
        <v>150974</v>
      </c>
      <c r="U195">
        <v>88221</v>
      </c>
      <c r="V195">
        <v>58.4</v>
      </c>
      <c r="AF195">
        <v>36</v>
      </c>
      <c r="AG195">
        <v>43500</v>
      </c>
      <c r="AH195">
        <v>109127</v>
      </c>
      <c r="AI195">
        <v>57</v>
      </c>
      <c r="AJ195">
        <v>12296</v>
      </c>
      <c r="AK195">
        <v>41847</v>
      </c>
      <c r="AL195">
        <v>93</v>
      </c>
      <c r="AM195">
        <v>55796</v>
      </c>
      <c r="AN195">
        <v>150974</v>
      </c>
    </row>
    <row r="196" spans="1:40" x14ac:dyDescent="0.3">
      <c r="A196" s="1">
        <v>43891</v>
      </c>
      <c r="B196">
        <v>2020</v>
      </c>
      <c r="C196" t="s">
        <v>17</v>
      </c>
      <c r="D196">
        <v>3</v>
      </c>
      <c r="E196">
        <v>40477</v>
      </c>
      <c r="F196">
        <v>23181</v>
      </c>
      <c r="G196">
        <v>17296</v>
      </c>
      <c r="H196">
        <v>17324</v>
      </c>
      <c r="I196">
        <v>9470</v>
      </c>
      <c r="J196">
        <v>7854</v>
      </c>
      <c r="K196">
        <v>2.2999999999999998</v>
      </c>
      <c r="L196">
        <v>2.4</v>
      </c>
      <c r="M196">
        <v>2.2000000000000002</v>
      </c>
      <c r="N196">
        <v>14066</v>
      </c>
      <c r="O196">
        <v>2159</v>
      </c>
      <c r="P196">
        <v>11907</v>
      </c>
      <c r="Q196">
        <v>37144</v>
      </c>
      <c r="R196">
        <v>19727</v>
      </c>
      <c r="S196">
        <v>53.1</v>
      </c>
      <c r="T196">
        <v>98306</v>
      </c>
      <c r="U196">
        <v>40477</v>
      </c>
      <c r="V196">
        <v>41.2</v>
      </c>
      <c r="AF196">
        <v>36</v>
      </c>
      <c r="AG196">
        <v>28490</v>
      </c>
      <c r="AH196">
        <v>68797</v>
      </c>
      <c r="AI196">
        <v>55</v>
      </c>
      <c r="AJ196">
        <v>8654</v>
      </c>
      <c r="AK196">
        <v>29509</v>
      </c>
      <c r="AL196">
        <v>91</v>
      </c>
      <c r="AM196">
        <v>37144</v>
      </c>
      <c r="AN196">
        <v>98306</v>
      </c>
    </row>
    <row r="197" spans="1:40" s="4" customFormat="1" x14ac:dyDescent="0.3">
      <c r="A197" s="3">
        <v>43922</v>
      </c>
      <c r="B197" s="4">
        <v>2020</v>
      </c>
      <c r="C197" s="4" t="s">
        <v>18</v>
      </c>
      <c r="D197" s="4">
        <v>4</v>
      </c>
      <c r="E197" s="4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40" s="4" customFormat="1" x14ac:dyDescent="0.3">
      <c r="A198" s="3">
        <v>43952</v>
      </c>
      <c r="B198" s="4">
        <v>2020</v>
      </c>
      <c r="C198" s="4" t="s">
        <v>19</v>
      </c>
      <c r="D198" s="4">
        <v>5</v>
      </c>
      <c r="E198" s="4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</row>
    <row r="199" spans="1:40" s="4" customFormat="1" x14ac:dyDescent="0.3">
      <c r="A199" s="3">
        <v>43983</v>
      </c>
      <c r="B199" s="4">
        <v>2020</v>
      </c>
      <c r="C199" s="4" t="s">
        <v>20</v>
      </c>
      <c r="D199">
        <v>6</v>
      </c>
      <c r="E199" s="4">
        <v>183</v>
      </c>
      <c r="F199" s="5">
        <v>0</v>
      </c>
      <c r="G199" s="5">
        <v>0</v>
      </c>
      <c r="H199" s="4">
        <v>43</v>
      </c>
      <c r="I199" s="5">
        <v>0</v>
      </c>
      <c r="J199" s="5">
        <v>0</v>
      </c>
      <c r="K199" s="4">
        <v>4.3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>
        <v>2454</v>
      </c>
      <c r="R199">
        <v>183</v>
      </c>
      <c r="S199">
        <v>7.5</v>
      </c>
      <c r="T199">
        <v>7014</v>
      </c>
      <c r="U199">
        <v>183</v>
      </c>
      <c r="V199">
        <v>2.6</v>
      </c>
    </row>
    <row r="200" spans="1:40" s="4" customFormat="1" x14ac:dyDescent="0.3">
      <c r="A200" s="3">
        <v>44013</v>
      </c>
      <c r="B200" s="4">
        <v>2020</v>
      </c>
      <c r="C200" s="4" t="s">
        <v>21</v>
      </c>
      <c r="D200">
        <v>7</v>
      </c>
      <c r="E200" s="4">
        <v>473</v>
      </c>
      <c r="F200" s="5">
        <v>0</v>
      </c>
      <c r="G200" s="5">
        <v>0</v>
      </c>
      <c r="H200" s="4">
        <v>218</v>
      </c>
      <c r="I200" s="5">
        <v>0</v>
      </c>
      <c r="J200" s="5">
        <v>0</v>
      </c>
      <c r="K200" s="4">
        <v>2.2000000000000002</v>
      </c>
      <c r="L200" s="5">
        <v>0</v>
      </c>
      <c r="M200" s="5">
        <v>0</v>
      </c>
      <c r="N200" s="4">
        <v>2271</v>
      </c>
      <c r="O200" s="4">
        <v>2271</v>
      </c>
      <c r="P200" s="5">
        <v>0</v>
      </c>
      <c r="Q200">
        <v>9833</v>
      </c>
      <c r="R200">
        <v>364</v>
      </c>
      <c r="S200">
        <v>3.7</v>
      </c>
      <c r="T200">
        <v>25156</v>
      </c>
      <c r="U200">
        <v>473</v>
      </c>
      <c r="V200">
        <v>1.9</v>
      </c>
    </row>
    <row r="201" spans="1:40" s="4" customFormat="1" x14ac:dyDescent="0.3">
      <c r="A201" s="3">
        <v>44044</v>
      </c>
      <c r="B201" s="4">
        <v>2020</v>
      </c>
      <c r="C201" s="4" t="s">
        <v>22</v>
      </c>
      <c r="D201">
        <v>8</v>
      </c>
      <c r="E201" s="4">
        <v>207</v>
      </c>
      <c r="F201" s="5">
        <v>0</v>
      </c>
      <c r="G201" s="5">
        <v>0</v>
      </c>
      <c r="H201" s="4">
        <v>107</v>
      </c>
      <c r="I201" s="5">
        <v>0</v>
      </c>
      <c r="J201" s="5">
        <v>0</v>
      </c>
      <c r="K201" s="4">
        <v>1.9</v>
      </c>
      <c r="L201" s="5">
        <v>0</v>
      </c>
      <c r="M201" s="5">
        <v>0</v>
      </c>
      <c r="N201" s="4">
        <v>2408</v>
      </c>
      <c r="O201" s="4">
        <v>2408</v>
      </c>
      <c r="P201" s="5">
        <v>0</v>
      </c>
      <c r="Q201">
        <v>7702</v>
      </c>
      <c r="R201">
        <v>113</v>
      </c>
      <c r="S201">
        <v>1.5</v>
      </c>
      <c r="T201">
        <v>21030</v>
      </c>
      <c r="U201">
        <v>207</v>
      </c>
      <c r="V201"/>
    </row>
    <row r="202" spans="1:40" s="4" customFormat="1" x14ac:dyDescent="0.3">
      <c r="A202" s="3">
        <v>44075</v>
      </c>
      <c r="B202" s="4">
        <v>2020</v>
      </c>
      <c r="C202" s="4" t="s">
        <v>23</v>
      </c>
      <c r="D202">
        <v>9</v>
      </c>
      <c r="E202" s="4">
        <v>2143</v>
      </c>
      <c r="F202" s="5">
        <v>0</v>
      </c>
      <c r="G202" s="5">
        <v>0</v>
      </c>
      <c r="H202" s="4">
        <v>200</v>
      </c>
      <c r="I202" s="5">
        <v>0</v>
      </c>
      <c r="J202" s="5">
        <v>0</v>
      </c>
      <c r="K202" s="4">
        <v>10.7</v>
      </c>
      <c r="L202" s="5">
        <v>0</v>
      </c>
      <c r="M202" s="5">
        <v>0</v>
      </c>
      <c r="N202" s="4">
        <v>2093</v>
      </c>
      <c r="O202" s="4">
        <v>2093</v>
      </c>
      <c r="P202" s="5">
        <v>0</v>
      </c>
      <c r="Q202">
        <v>13305</v>
      </c>
      <c r="R202">
        <v>2082</v>
      </c>
      <c r="S202">
        <v>15.6</v>
      </c>
      <c r="T202">
        <v>33420</v>
      </c>
      <c r="U202">
        <v>2143</v>
      </c>
      <c r="V202">
        <v>6.4</v>
      </c>
    </row>
    <row r="203" spans="1:40" s="4" customFormat="1" x14ac:dyDescent="0.3">
      <c r="A203" s="3">
        <v>44105</v>
      </c>
      <c r="B203" s="4">
        <v>2020</v>
      </c>
      <c r="C203" s="4" t="s">
        <v>24</v>
      </c>
      <c r="D203">
        <v>10</v>
      </c>
      <c r="E203" s="4">
        <v>738</v>
      </c>
      <c r="F203" s="5">
        <v>0</v>
      </c>
      <c r="G203" s="5">
        <v>0</v>
      </c>
      <c r="H203" s="4">
        <v>355</v>
      </c>
      <c r="I203" s="5">
        <v>0</v>
      </c>
      <c r="J203" s="5">
        <v>0</v>
      </c>
      <c r="K203" s="4">
        <v>2.1</v>
      </c>
      <c r="L203" s="5">
        <v>0</v>
      </c>
      <c r="M203" s="5">
        <v>0</v>
      </c>
      <c r="N203" s="4">
        <v>4688</v>
      </c>
      <c r="O203" s="4">
        <v>4688</v>
      </c>
      <c r="P203" s="5">
        <v>0</v>
      </c>
      <c r="Q203">
        <v>9853</v>
      </c>
      <c r="R203">
        <v>227</v>
      </c>
      <c r="S203">
        <v>2.2999999999999998</v>
      </c>
      <c r="T203">
        <v>25617</v>
      </c>
      <c r="U203">
        <v>738</v>
      </c>
      <c r="V203">
        <v>2.9</v>
      </c>
    </row>
    <row r="204" spans="1:40" s="4" customFormat="1" x14ac:dyDescent="0.3">
      <c r="A204" s="3">
        <v>44136</v>
      </c>
      <c r="B204" s="4">
        <v>2020</v>
      </c>
      <c r="C204" s="4" t="s">
        <v>25</v>
      </c>
      <c r="D204">
        <v>11</v>
      </c>
      <c r="E204" s="4">
        <v>3119</v>
      </c>
      <c r="F204" s="5">
        <v>0</v>
      </c>
      <c r="G204" s="5">
        <v>0</v>
      </c>
      <c r="H204" s="4">
        <v>878</v>
      </c>
      <c r="I204" s="5">
        <v>0</v>
      </c>
      <c r="J204" s="5">
        <v>0</v>
      </c>
      <c r="K204" s="4">
        <v>3.6</v>
      </c>
      <c r="L204" s="5">
        <v>0</v>
      </c>
      <c r="M204" s="5">
        <v>0</v>
      </c>
      <c r="N204" s="4">
        <v>8466</v>
      </c>
      <c r="O204" s="4">
        <v>6016</v>
      </c>
      <c r="P204" s="4">
        <v>2450</v>
      </c>
      <c r="Q204">
        <v>13369</v>
      </c>
      <c r="R204">
        <v>1982</v>
      </c>
      <c r="S204">
        <v>14.8</v>
      </c>
      <c r="T204">
        <v>35326</v>
      </c>
      <c r="U204">
        <v>3119</v>
      </c>
      <c r="V204">
        <v>8.8000000000000007</v>
      </c>
      <c r="AF204">
        <v>12</v>
      </c>
      <c r="AG204">
        <v>12499</v>
      </c>
      <c r="AH204">
        <v>29656</v>
      </c>
      <c r="AI204">
        <v>6</v>
      </c>
      <c r="AJ204">
        <v>870</v>
      </c>
      <c r="AK204">
        <v>5670</v>
      </c>
      <c r="AL204">
        <v>18</v>
      </c>
      <c r="AM204">
        <v>13369</v>
      </c>
      <c r="AN204">
        <v>35326</v>
      </c>
    </row>
    <row r="205" spans="1:40" s="4" customFormat="1" x14ac:dyDescent="0.3">
      <c r="A205" s="3">
        <v>44166</v>
      </c>
      <c r="B205" s="4">
        <v>2020</v>
      </c>
      <c r="C205" s="4" t="s">
        <v>26</v>
      </c>
      <c r="D205">
        <v>12</v>
      </c>
      <c r="E205" s="4">
        <v>8610</v>
      </c>
      <c r="F205" s="5">
        <v>0</v>
      </c>
      <c r="G205" s="5">
        <v>0</v>
      </c>
      <c r="H205" s="4">
        <v>3928</v>
      </c>
      <c r="I205" s="5">
        <v>0</v>
      </c>
      <c r="J205" s="5">
        <v>0</v>
      </c>
      <c r="K205" s="4">
        <v>2.2000000000000002</v>
      </c>
      <c r="L205" s="5">
        <v>0</v>
      </c>
      <c r="M205" s="5">
        <v>0</v>
      </c>
      <c r="N205" s="4">
        <v>9095</v>
      </c>
      <c r="O205" s="4">
        <v>9089</v>
      </c>
      <c r="P205" s="4">
        <v>6</v>
      </c>
      <c r="Q205">
        <v>26435</v>
      </c>
      <c r="R205">
        <v>3724</v>
      </c>
      <c r="S205">
        <v>14.1</v>
      </c>
      <c r="T205">
        <v>66997</v>
      </c>
      <c r="U205">
        <v>8610</v>
      </c>
      <c r="V205">
        <v>12.9</v>
      </c>
      <c r="AF205">
        <v>19</v>
      </c>
      <c r="AG205">
        <v>23490</v>
      </c>
      <c r="AH205">
        <v>51311</v>
      </c>
      <c r="AI205">
        <v>14</v>
      </c>
      <c r="AJ205">
        <v>2945</v>
      </c>
      <c r="AK205">
        <v>15686</v>
      </c>
      <c r="AL205">
        <v>33</v>
      </c>
      <c r="AM205">
        <v>26435</v>
      </c>
      <c r="AN205">
        <v>66997</v>
      </c>
    </row>
    <row r="206" spans="1:40" s="4" customFormat="1" x14ac:dyDescent="0.3">
      <c r="A206" s="3">
        <v>44197</v>
      </c>
      <c r="B206" s="4">
        <v>2021</v>
      </c>
      <c r="C206" s="4" t="s">
        <v>15</v>
      </c>
      <c r="D206">
        <v>1</v>
      </c>
      <c r="E206" s="4">
        <v>37293</v>
      </c>
      <c r="F206" s="4">
        <v>36962</v>
      </c>
      <c r="G206" s="4">
        <v>331</v>
      </c>
      <c r="H206" s="4">
        <v>14383</v>
      </c>
      <c r="I206" s="4">
        <v>14266</v>
      </c>
      <c r="J206" s="4">
        <v>117</v>
      </c>
      <c r="K206" s="4">
        <v>2.6</v>
      </c>
      <c r="L206" s="4">
        <v>2.6</v>
      </c>
      <c r="M206" s="4">
        <v>2.8</v>
      </c>
      <c r="N206" s="4">
        <v>18699</v>
      </c>
      <c r="O206" s="4">
        <v>18674</v>
      </c>
      <c r="P206" s="4">
        <v>25</v>
      </c>
      <c r="Q206">
        <v>39098</v>
      </c>
      <c r="R206">
        <v>17299</v>
      </c>
      <c r="S206">
        <v>44.2</v>
      </c>
      <c r="T206">
        <v>108463</v>
      </c>
      <c r="U206">
        <v>37293</v>
      </c>
      <c r="V206">
        <v>34.4</v>
      </c>
      <c r="AF206">
        <v>27</v>
      </c>
      <c r="AG206">
        <v>31275</v>
      </c>
      <c r="AH206">
        <v>77260</v>
      </c>
      <c r="AI206">
        <v>42</v>
      </c>
      <c r="AJ206">
        <v>7823</v>
      </c>
      <c r="AK206">
        <v>31203</v>
      </c>
      <c r="AL206">
        <v>69</v>
      </c>
      <c r="AM206">
        <v>39098</v>
      </c>
      <c r="AN206">
        <v>108463</v>
      </c>
    </row>
    <row r="207" spans="1:40" s="4" customFormat="1" x14ac:dyDescent="0.3">
      <c r="A207" s="3">
        <v>44228</v>
      </c>
      <c r="B207" s="4">
        <v>2021</v>
      </c>
      <c r="C207" s="4" t="s">
        <v>16</v>
      </c>
      <c r="D207">
        <v>2</v>
      </c>
      <c r="E207" s="4">
        <v>40097</v>
      </c>
      <c r="F207" s="4">
        <v>39975</v>
      </c>
      <c r="G207" s="5">
        <v>0</v>
      </c>
      <c r="H207" s="4">
        <v>16061</v>
      </c>
      <c r="I207" s="4">
        <v>16017</v>
      </c>
      <c r="J207" s="5">
        <v>0</v>
      </c>
      <c r="K207" s="4">
        <v>2.5</v>
      </c>
      <c r="L207" s="4">
        <v>2.5</v>
      </c>
      <c r="M207" s="5">
        <v>0</v>
      </c>
      <c r="N207" s="4">
        <v>13121</v>
      </c>
      <c r="O207" s="4">
        <v>13069</v>
      </c>
      <c r="P207" s="4">
        <v>52</v>
      </c>
      <c r="Q207">
        <v>34777</v>
      </c>
      <c r="R207">
        <v>18022</v>
      </c>
      <c r="S207">
        <v>51.8</v>
      </c>
      <c r="T207">
        <v>101726</v>
      </c>
      <c r="U207">
        <v>40097</v>
      </c>
      <c r="V207">
        <v>39.4</v>
      </c>
      <c r="AF207">
        <v>26</v>
      </c>
      <c r="AG207">
        <v>27916</v>
      </c>
      <c r="AH207">
        <v>71764</v>
      </c>
      <c r="AI207">
        <v>44</v>
      </c>
      <c r="AJ207">
        <v>6861</v>
      </c>
      <c r="AK207">
        <v>29962</v>
      </c>
      <c r="AL207">
        <v>70</v>
      </c>
      <c r="AM207">
        <v>34777</v>
      </c>
      <c r="AN207">
        <v>101726</v>
      </c>
    </row>
    <row r="208" spans="1:40" s="4" customFormat="1" x14ac:dyDescent="0.3">
      <c r="A208" s="3">
        <v>44256</v>
      </c>
      <c r="B208" s="4">
        <v>2021</v>
      </c>
      <c r="C208" s="4" t="s">
        <v>17</v>
      </c>
      <c r="D208">
        <v>3</v>
      </c>
      <c r="E208" s="4">
        <v>38746</v>
      </c>
      <c r="F208" s="4">
        <v>38696</v>
      </c>
      <c r="G208" s="5">
        <v>0</v>
      </c>
      <c r="H208" s="4">
        <v>13606</v>
      </c>
      <c r="I208" s="4">
        <v>13574</v>
      </c>
      <c r="J208" s="5">
        <v>0</v>
      </c>
      <c r="K208" s="4">
        <v>2.8</v>
      </c>
      <c r="L208" s="4">
        <v>2.9</v>
      </c>
      <c r="M208" s="5">
        <v>0</v>
      </c>
      <c r="N208" s="4">
        <v>14268</v>
      </c>
      <c r="O208" s="4">
        <v>14262</v>
      </c>
      <c r="P208" s="4">
        <v>6</v>
      </c>
      <c r="Q208">
        <v>39184</v>
      </c>
      <c r="R208">
        <v>19104</v>
      </c>
      <c r="S208">
        <v>48.8</v>
      </c>
      <c r="T208">
        <v>106392</v>
      </c>
      <c r="U208">
        <v>38746</v>
      </c>
      <c r="V208">
        <v>36.4</v>
      </c>
      <c r="AF208">
        <v>27</v>
      </c>
      <c r="AG208">
        <v>30752</v>
      </c>
      <c r="AH208">
        <v>73377</v>
      </c>
      <c r="AI208">
        <v>44</v>
      </c>
      <c r="AJ208">
        <v>8432</v>
      </c>
      <c r="AK208">
        <v>33015</v>
      </c>
      <c r="AL208">
        <v>71</v>
      </c>
      <c r="AM208">
        <v>39184</v>
      </c>
      <c r="AN208">
        <v>106392</v>
      </c>
    </row>
    <row r="209" spans="1:40" s="4" customFormat="1" x14ac:dyDescent="0.3">
      <c r="A209" s="3">
        <v>44287</v>
      </c>
      <c r="B209" s="4">
        <v>2021</v>
      </c>
      <c r="C209" s="4" t="s">
        <v>18</v>
      </c>
      <c r="D209">
        <v>4</v>
      </c>
      <c r="E209" s="4">
        <v>30019</v>
      </c>
      <c r="F209" s="4">
        <v>29930</v>
      </c>
      <c r="G209" s="5">
        <v>0</v>
      </c>
      <c r="H209" s="4">
        <v>9580</v>
      </c>
      <c r="I209" s="4">
        <v>9518</v>
      </c>
      <c r="J209" s="5">
        <v>0</v>
      </c>
      <c r="K209" s="4">
        <v>3.1</v>
      </c>
      <c r="L209" s="4">
        <v>3.1</v>
      </c>
      <c r="M209" s="5">
        <v>0</v>
      </c>
      <c r="N209" s="4">
        <v>12378</v>
      </c>
      <c r="O209" s="4">
        <v>12347</v>
      </c>
      <c r="P209" s="4">
        <v>31</v>
      </c>
      <c r="Q209">
        <v>40932</v>
      </c>
      <c r="R209">
        <v>15656</v>
      </c>
      <c r="S209">
        <v>38.200000000000003</v>
      </c>
      <c r="T209">
        <v>109302</v>
      </c>
      <c r="U209">
        <v>30019</v>
      </c>
      <c r="V209">
        <v>27.5</v>
      </c>
      <c r="AF209">
        <v>27</v>
      </c>
      <c r="AG209">
        <v>34380</v>
      </c>
      <c r="AH209">
        <v>81540</v>
      </c>
      <c r="AI209">
        <v>39</v>
      </c>
      <c r="AJ209">
        <v>6552</v>
      </c>
      <c r="AK209">
        <v>27762</v>
      </c>
      <c r="AL209">
        <v>66</v>
      </c>
      <c r="AM209">
        <v>40932</v>
      </c>
      <c r="AN209">
        <v>109302</v>
      </c>
    </row>
    <row r="210" spans="1:40" s="4" customFormat="1" x14ac:dyDescent="0.3">
      <c r="A210" s="3">
        <v>44317</v>
      </c>
      <c r="B210" s="4">
        <v>2021</v>
      </c>
      <c r="C210" s="4" t="s">
        <v>19</v>
      </c>
      <c r="D210">
        <v>5</v>
      </c>
      <c r="E210" s="4">
        <v>11292</v>
      </c>
      <c r="F210" s="4">
        <v>11256</v>
      </c>
      <c r="G210" s="5">
        <v>0</v>
      </c>
      <c r="H210" s="4">
        <v>5590</v>
      </c>
      <c r="I210" s="4">
        <v>5574</v>
      </c>
      <c r="J210" s="5">
        <v>0</v>
      </c>
      <c r="K210" s="4">
        <v>2</v>
      </c>
      <c r="L210" s="4">
        <v>2</v>
      </c>
      <c r="M210" s="5">
        <v>0</v>
      </c>
      <c r="N210" s="4">
        <v>4593</v>
      </c>
      <c r="O210" s="4">
        <v>4585</v>
      </c>
      <c r="P210" s="4">
        <v>8</v>
      </c>
      <c r="Q210">
        <v>34284</v>
      </c>
      <c r="R210">
        <v>6196</v>
      </c>
      <c r="S210">
        <v>18.100000000000001</v>
      </c>
      <c r="T210">
        <v>89096</v>
      </c>
      <c r="U210">
        <v>11292</v>
      </c>
      <c r="V210">
        <v>12.7</v>
      </c>
      <c r="AF210">
        <v>22</v>
      </c>
      <c r="AG210">
        <v>28665</v>
      </c>
      <c r="AH210">
        <v>63522</v>
      </c>
      <c r="AI210">
        <v>32</v>
      </c>
      <c r="AJ210">
        <v>5619</v>
      </c>
      <c r="AK210">
        <v>25574</v>
      </c>
      <c r="AL210">
        <v>54</v>
      </c>
      <c r="AM210">
        <v>34284</v>
      </c>
      <c r="AN210">
        <v>89096</v>
      </c>
    </row>
    <row r="211" spans="1:40" s="4" customFormat="1" x14ac:dyDescent="0.3">
      <c r="A211" s="3">
        <v>44348</v>
      </c>
      <c r="B211" s="4">
        <v>2021</v>
      </c>
      <c r="C211" s="4" t="s">
        <v>20</v>
      </c>
      <c r="D211">
        <v>6</v>
      </c>
      <c r="E211" s="4">
        <v>9042</v>
      </c>
      <c r="F211" s="4">
        <v>9035</v>
      </c>
      <c r="G211" s="5">
        <v>0</v>
      </c>
      <c r="H211" s="4">
        <v>4465</v>
      </c>
      <c r="I211" s="4">
        <v>4460</v>
      </c>
      <c r="J211" s="5">
        <v>0</v>
      </c>
      <c r="K211" s="4">
        <v>2</v>
      </c>
      <c r="L211" s="4">
        <v>2</v>
      </c>
      <c r="M211" s="5">
        <v>0</v>
      </c>
      <c r="N211" s="4">
        <v>1615</v>
      </c>
      <c r="O211" s="4">
        <v>1607</v>
      </c>
      <c r="P211" s="4">
        <v>8</v>
      </c>
      <c r="Q211">
        <v>31780</v>
      </c>
      <c r="R211">
        <v>4579</v>
      </c>
      <c r="S211">
        <v>14.4</v>
      </c>
      <c r="T211">
        <v>90009</v>
      </c>
      <c r="U211">
        <v>9042</v>
      </c>
      <c r="V211">
        <v>10</v>
      </c>
      <c r="AF211">
        <v>24</v>
      </c>
      <c r="AG211">
        <v>26500</v>
      </c>
      <c r="AH211">
        <v>65166</v>
      </c>
      <c r="AI211">
        <v>30</v>
      </c>
      <c r="AJ211">
        <v>5280</v>
      </c>
      <c r="AK211">
        <v>24843</v>
      </c>
      <c r="AL211">
        <v>54</v>
      </c>
      <c r="AM211">
        <v>31780</v>
      </c>
      <c r="AN211">
        <v>90009</v>
      </c>
    </row>
    <row r="212" spans="1:40" x14ac:dyDescent="0.3">
      <c r="A212" s="1">
        <v>44378</v>
      </c>
      <c r="B212">
        <v>2021</v>
      </c>
      <c r="C212" t="s">
        <v>21</v>
      </c>
      <c r="D212">
        <v>7</v>
      </c>
      <c r="E212">
        <v>60864</v>
      </c>
      <c r="F212">
        <v>60823</v>
      </c>
      <c r="G212" s="5">
        <v>0</v>
      </c>
      <c r="H212">
        <v>21504</v>
      </c>
      <c r="I212">
        <v>21485</v>
      </c>
      <c r="J212" s="5">
        <v>0</v>
      </c>
      <c r="K212">
        <v>2.8</v>
      </c>
      <c r="L212">
        <v>2.8</v>
      </c>
      <c r="M212" s="5">
        <v>0</v>
      </c>
      <c r="N212">
        <v>6137</v>
      </c>
      <c r="O212">
        <v>6123</v>
      </c>
      <c r="P212">
        <v>14</v>
      </c>
      <c r="Q212">
        <v>42882</v>
      </c>
      <c r="R212">
        <v>26491</v>
      </c>
      <c r="S212">
        <v>61.8</v>
      </c>
      <c r="T212">
        <v>123051</v>
      </c>
      <c r="U212">
        <v>60864</v>
      </c>
      <c r="V212">
        <v>49.5</v>
      </c>
      <c r="AF212">
        <v>28</v>
      </c>
      <c r="AG212">
        <v>35365</v>
      </c>
      <c r="AH212">
        <v>90971</v>
      </c>
      <c r="AI212">
        <v>42</v>
      </c>
      <c r="AJ212">
        <v>7517</v>
      </c>
      <c r="AK212">
        <v>32080</v>
      </c>
      <c r="AL212">
        <v>70</v>
      </c>
      <c r="AM212">
        <v>42882</v>
      </c>
      <c r="AN212">
        <v>123051</v>
      </c>
    </row>
    <row r="213" spans="1:40" x14ac:dyDescent="0.3">
      <c r="A213" s="1">
        <v>44409</v>
      </c>
      <c r="B213">
        <v>2021</v>
      </c>
      <c r="C213" t="s">
        <v>22</v>
      </c>
      <c r="D213">
        <v>8</v>
      </c>
      <c r="E213">
        <v>88629</v>
      </c>
      <c r="F213">
        <v>88589</v>
      </c>
      <c r="G213" s="5">
        <v>0</v>
      </c>
      <c r="H213">
        <v>33427</v>
      </c>
      <c r="I213">
        <v>33410</v>
      </c>
      <c r="J213" s="5">
        <v>0</v>
      </c>
      <c r="K213">
        <v>2.7</v>
      </c>
      <c r="L213">
        <v>2.7</v>
      </c>
      <c r="M213" s="5">
        <v>0</v>
      </c>
      <c r="N213">
        <v>13837</v>
      </c>
      <c r="O213">
        <v>13799</v>
      </c>
      <c r="P213">
        <v>38</v>
      </c>
      <c r="Q213">
        <v>48826</v>
      </c>
      <c r="R213">
        <v>37453</v>
      </c>
      <c r="S213">
        <v>76.7</v>
      </c>
      <c r="T213">
        <v>135078</v>
      </c>
      <c r="U213">
        <v>88629</v>
      </c>
      <c r="V213">
        <v>65.599999999999994</v>
      </c>
      <c r="AF213">
        <v>31</v>
      </c>
      <c r="AG213">
        <v>39512</v>
      </c>
      <c r="AH213">
        <v>98368</v>
      </c>
      <c r="AI213">
        <v>46</v>
      </c>
      <c r="AJ213">
        <v>9314</v>
      </c>
      <c r="AK213">
        <v>36710</v>
      </c>
      <c r="AL213">
        <v>77</v>
      </c>
      <c r="AM213">
        <v>48826</v>
      </c>
      <c r="AN213">
        <v>135078</v>
      </c>
    </row>
    <row r="214" spans="1:40" x14ac:dyDescent="0.3">
      <c r="A214" s="1">
        <v>44440</v>
      </c>
      <c r="B214">
        <v>2021</v>
      </c>
      <c r="C214" t="s">
        <v>23</v>
      </c>
      <c r="D214">
        <v>9</v>
      </c>
      <c r="E214">
        <v>96150</v>
      </c>
      <c r="F214">
        <v>96104</v>
      </c>
      <c r="G214" s="5">
        <v>0</v>
      </c>
      <c r="H214">
        <v>32318</v>
      </c>
      <c r="I214">
        <v>32300</v>
      </c>
      <c r="J214" s="5">
        <v>0</v>
      </c>
      <c r="K214">
        <v>3</v>
      </c>
      <c r="L214">
        <v>3</v>
      </c>
      <c r="M214" s="5">
        <v>0</v>
      </c>
      <c r="N214">
        <v>21640</v>
      </c>
      <c r="O214">
        <v>21621</v>
      </c>
      <c r="P214">
        <v>19</v>
      </c>
      <c r="Q214">
        <v>50166</v>
      </c>
      <c r="R214">
        <v>41751</v>
      </c>
      <c r="S214">
        <v>83.2</v>
      </c>
      <c r="T214">
        <v>135732</v>
      </c>
      <c r="U214">
        <v>96150</v>
      </c>
      <c r="V214">
        <v>70.8</v>
      </c>
      <c r="AF214">
        <v>32</v>
      </c>
      <c r="AG214">
        <v>41190</v>
      </c>
      <c r="AH214">
        <v>102420</v>
      </c>
      <c r="AI214">
        <v>46</v>
      </c>
      <c r="AJ214">
        <v>8976</v>
      </c>
      <c r="AK214">
        <v>33312</v>
      </c>
      <c r="AL214">
        <v>78</v>
      </c>
      <c r="AM214">
        <v>50166</v>
      </c>
      <c r="AN214">
        <v>135732</v>
      </c>
    </row>
    <row r="215" spans="1:40" x14ac:dyDescent="0.3">
      <c r="A215" s="1">
        <v>44470</v>
      </c>
      <c r="B215">
        <v>2021</v>
      </c>
      <c r="C215" t="s">
        <v>24</v>
      </c>
      <c r="D215">
        <v>10</v>
      </c>
      <c r="E215">
        <v>61942</v>
      </c>
      <c r="F215">
        <v>61402</v>
      </c>
      <c r="G215">
        <v>540</v>
      </c>
      <c r="H215">
        <v>21060</v>
      </c>
      <c r="I215">
        <v>20760</v>
      </c>
      <c r="J215">
        <v>300</v>
      </c>
      <c r="K215">
        <v>2.9</v>
      </c>
      <c r="L215">
        <v>3</v>
      </c>
      <c r="M215">
        <v>1.8</v>
      </c>
      <c r="N215">
        <v>29767</v>
      </c>
      <c r="O215">
        <v>29687</v>
      </c>
      <c r="P215">
        <v>80</v>
      </c>
      <c r="Q215">
        <v>52026</v>
      </c>
      <c r="R215">
        <v>30190</v>
      </c>
      <c r="S215">
        <v>58</v>
      </c>
      <c r="T215">
        <v>135496</v>
      </c>
      <c r="U215">
        <v>61942</v>
      </c>
      <c r="V215">
        <v>45.7</v>
      </c>
      <c r="AF215">
        <v>33</v>
      </c>
      <c r="AG215">
        <v>42625</v>
      </c>
      <c r="AH215">
        <v>102486</v>
      </c>
      <c r="AI215">
        <v>45</v>
      </c>
      <c r="AJ215">
        <v>9401</v>
      </c>
      <c r="AK215">
        <v>33010</v>
      </c>
      <c r="AL215">
        <v>78</v>
      </c>
      <c r="AM215">
        <v>52026</v>
      </c>
      <c r="AN215">
        <v>135496</v>
      </c>
    </row>
    <row r="216" spans="1:40" x14ac:dyDescent="0.3">
      <c r="A216" s="1">
        <v>44501</v>
      </c>
      <c r="B216">
        <v>2021</v>
      </c>
      <c r="C216" t="s">
        <v>25</v>
      </c>
      <c r="D216">
        <v>11</v>
      </c>
      <c r="E216">
        <v>65810</v>
      </c>
      <c r="F216">
        <v>63089</v>
      </c>
      <c r="G216">
        <v>2721</v>
      </c>
      <c r="H216">
        <v>25436</v>
      </c>
      <c r="I216">
        <v>24059</v>
      </c>
      <c r="J216">
        <v>1377</v>
      </c>
      <c r="K216">
        <v>2.6</v>
      </c>
      <c r="L216">
        <v>2.6</v>
      </c>
      <c r="M216">
        <v>2</v>
      </c>
      <c r="N216">
        <v>30939</v>
      </c>
      <c r="O216">
        <v>29430</v>
      </c>
      <c r="P216">
        <v>1509</v>
      </c>
      <c r="Q216">
        <v>49530</v>
      </c>
      <c r="R216">
        <v>32162</v>
      </c>
      <c r="S216">
        <v>64.900000000000006</v>
      </c>
      <c r="T216">
        <v>132030</v>
      </c>
      <c r="U216">
        <v>65810</v>
      </c>
      <c r="V216">
        <v>48.6</v>
      </c>
      <c r="AF216">
        <v>33</v>
      </c>
      <c r="AG216">
        <v>40320</v>
      </c>
      <c r="AH216">
        <v>98310</v>
      </c>
      <c r="AI216">
        <v>45</v>
      </c>
      <c r="AJ216">
        <v>9210</v>
      </c>
      <c r="AK216">
        <v>33720</v>
      </c>
      <c r="AL216">
        <v>78</v>
      </c>
      <c r="AM216">
        <v>49530</v>
      </c>
      <c r="AN216">
        <v>132030</v>
      </c>
    </row>
    <row r="217" spans="1:40" x14ac:dyDescent="0.3">
      <c r="A217" s="1">
        <v>44531</v>
      </c>
      <c r="B217">
        <v>2021</v>
      </c>
      <c r="C217" t="s">
        <v>26</v>
      </c>
      <c r="D217">
        <v>12</v>
      </c>
      <c r="E217">
        <v>65395</v>
      </c>
      <c r="F217">
        <v>57478</v>
      </c>
      <c r="G217">
        <v>7917</v>
      </c>
      <c r="H217">
        <v>25250</v>
      </c>
      <c r="I217">
        <v>21769</v>
      </c>
      <c r="J217">
        <v>3481</v>
      </c>
      <c r="K217">
        <v>2.6</v>
      </c>
      <c r="L217">
        <v>2.6</v>
      </c>
      <c r="M217">
        <v>2.2999999999999998</v>
      </c>
      <c r="N217">
        <v>33227</v>
      </c>
      <c r="O217">
        <v>29172</v>
      </c>
      <c r="P217">
        <v>4055</v>
      </c>
      <c r="Q217">
        <v>49435</v>
      </c>
      <c r="R217">
        <v>31857</v>
      </c>
      <c r="S217">
        <v>64.400000000000006</v>
      </c>
      <c r="T217">
        <v>136368</v>
      </c>
      <c r="U217">
        <v>65395</v>
      </c>
      <c r="V217">
        <v>48</v>
      </c>
      <c r="AF217">
        <v>32</v>
      </c>
      <c r="AG217">
        <v>39819</v>
      </c>
      <c r="AH217">
        <v>101040</v>
      </c>
      <c r="AI217">
        <v>46</v>
      </c>
      <c r="AJ217">
        <v>9616</v>
      </c>
      <c r="AK217">
        <v>35328</v>
      </c>
      <c r="AL217">
        <v>78</v>
      </c>
      <c r="AM217">
        <v>49435</v>
      </c>
      <c r="AN217">
        <v>136368</v>
      </c>
    </row>
    <row r="218" spans="1:40" x14ac:dyDescent="0.3">
      <c r="A218" s="1">
        <v>44562</v>
      </c>
      <c r="B218">
        <v>2022</v>
      </c>
      <c r="C218" t="s">
        <v>15</v>
      </c>
      <c r="D218">
        <v>1</v>
      </c>
      <c r="E218">
        <v>93779</v>
      </c>
      <c r="F218">
        <v>79760</v>
      </c>
      <c r="G218">
        <v>14019</v>
      </c>
      <c r="H218">
        <v>36218</v>
      </c>
      <c r="I218">
        <v>30364</v>
      </c>
      <c r="J218">
        <v>5854</v>
      </c>
      <c r="K218">
        <v>2.6</v>
      </c>
      <c r="L218">
        <v>2.6</v>
      </c>
      <c r="M218">
        <v>2.4</v>
      </c>
      <c r="N218">
        <v>56362</v>
      </c>
      <c r="O218">
        <v>50510</v>
      </c>
      <c r="P218">
        <v>5852</v>
      </c>
      <c r="Q218">
        <v>52298</v>
      </c>
      <c r="R218">
        <v>42081</v>
      </c>
      <c r="S218">
        <v>80.5</v>
      </c>
      <c r="T218">
        <v>143329</v>
      </c>
      <c r="U218">
        <v>93779</v>
      </c>
      <c r="V218">
        <v>65.400000000000006</v>
      </c>
      <c r="AF218">
        <v>34</v>
      </c>
      <c r="AG218">
        <v>43276</v>
      </c>
      <c r="AH218">
        <v>107012</v>
      </c>
      <c r="AI218">
        <v>44</v>
      </c>
      <c r="AJ218">
        <v>9022</v>
      </c>
      <c r="AK218">
        <v>36317</v>
      </c>
      <c r="AL218">
        <v>78</v>
      </c>
      <c r="AM218">
        <v>52298</v>
      </c>
      <c r="AN218">
        <v>143329</v>
      </c>
    </row>
    <row r="219" spans="1:40" x14ac:dyDescent="0.3">
      <c r="A219" s="1">
        <v>44593</v>
      </c>
      <c r="B219">
        <v>2022</v>
      </c>
      <c r="C219" t="s">
        <v>16</v>
      </c>
      <c r="D219">
        <v>2</v>
      </c>
      <c r="E219">
        <v>92891</v>
      </c>
      <c r="F219">
        <v>83025</v>
      </c>
      <c r="G219">
        <v>9866</v>
      </c>
      <c r="H219">
        <v>34291</v>
      </c>
      <c r="I219">
        <v>29958</v>
      </c>
      <c r="J219">
        <v>4333</v>
      </c>
      <c r="K219">
        <v>2.7</v>
      </c>
      <c r="L219">
        <v>2.8</v>
      </c>
      <c r="M219">
        <v>2.2999999999999998</v>
      </c>
      <c r="N219">
        <v>51895</v>
      </c>
      <c r="O219">
        <v>47361</v>
      </c>
      <c r="P219">
        <v>4534</v>
      </c>
      <c r="Q219">
        <v>49856</v>
      </c>
      <c r="R219">
        <v>41501</v>
      </c>
      <c r="S219">
        <v>83.242000000000004</v>
      </c>
      <c r="T219">
        <v>135168</v>
      </c>
      <c r="U219">
        <v>92891</v>
      </c>
      <c r="V219">
        <v>68.7</v>
      </c>
      <c r="AF219">
        <v>34</v>
      </c>
      <c r="AG219">
        <v>41076</v>
      </c>
      <c r="AH219">
        <v>100044</v>
      </c>
      <c r="AI219">
        <v>45</v>
      </c>
      <c r="AJ219">
        <v>8780</v>
      </c>
      <c r="AK219">
        <v>35124</v>
      </c>
      <c r="AL219">
        <v>79</v>
      </c>
      <c r="AM219">
        <v>49856</v>
      </c>
      <c r="AN219">
        <v>135168</v>
      </c>
    </row>
    <row r="220" spans="1:40" x14ac:dyDescent="0.3">
      <c r="A220" s="1">
        <v>44621</v>
      </c>
      <c r="B220">
        <v>2022</v>
      </c>
      <c r="C220" t="s">
        <v>17</v>
      </c>
      <c r="D220">
        <v>3</v>
      </c>
      <c r="E220">
        <v>95764</v>
      </c>
      <c r="F220">
        <v>85641</v>
      </c>
      <c r="G220">
        <v>10123</v>
      </c>
      <c r="H220">
        <v>32824</v>
      </c>
      <c r="I220">
        <v>28743</v>
      </c>
      <c r="J220">
        <v>4081</v>
      </c>
      <c r="K220">
        <v>2.9</v>
      </c>
      <c r="L220">
        <v>3</v>
      </c>
      <c r="M220">
        <v>2.5</v>
      </c>
      <c r="N220">
        <v>47756</v>
      </c>
      <c r="O220">
        <v>41846</v>
      </c>
      <c r="P220">
        <v>5910</v>
      </c>
      <c r="Q220">
        <v>54413</v>
      </c>
      <c r="R220">
        <v>44361</v>
      </c>
      <c r="S220">
        <v>81.5</v>
      </c>
      <c r="T220">
        <v>147235</v>
      </c>
      <c r="U220">
        <v>95764</v>
      </c>
      <c r="V220">
        <v>65</v>
      </c>
      <c r="AF220">
        <v>34</v>
      </c>
      <c r="AG220">
        <v>44950</v>
      </c>
      <c r="AH220">
        <v>109430</v>
      </c>
      <c r="AI220">
        <v>44</v>
      </c>
      <c r="AJ220">
        <v>9463</v>
      </c>
      <c r="AK220">
        <v>37805</v>
      </c>
      <c r="AL220">
        <v>78</v>
      </c>
      <c r="AM220">
        <v>54413</v>
      </c>
      <c r="AN220">
        <v>147235</v>
      </c>
    </row>
    <row r="221" spans="1:40" x14ac:dyDescent="0.3">
      <c r="A221" s="1">
        <v>44652</v>
      </c>
      <c r="B221">
        <v>2022</v>
      </c>
      <c r="C221" t="s">
        <v>18</v>
      </c>
      <c r="D221">
        <v>4</v>
      </c>
      <c r="E221">
        <v>72309</v>
      </c>
      <c r="F221">
        <v>64724</v>
      </c>
      <c r="G221">
        <v>7585</v>
      </c>
      <c r="H221">
        <v>27059</v>
      </c>
      <c r="I221">
        <v>24057</v>
      </c>
      <c r="J221">
        <v>3002</v>
      </c>
      <c r="K221">
        <v>2.7</v>
      </c>
      <c r="L221">
        <v>2.7</v>
      </c>
      <c r="M221">
        <v>2.5</v>
      </c>
      <c r="N221">
        <v>34903</v>
      </c>
      <c r="O221">
        <v>30293</v>
      </c>
      <c r="P221">
        <v>4610</v>
      </c>
      <c r="Q221">
        <v>50411</v>
      </c>
      <c r="R221">
        <v>34706</v>
      </c>
      <c r="S221">
        <v>68.8</v>
      </c>
      <c r="T221">
        <v>136670</v>
      </c>
      <c r="U221">
        <v>72309</v>
      </c>
      <c r="V221">
        <v>52.9</v>
      </c>
      <c r="AF221">
        <v>34</v>
      </c>
      <c r="AG221">
        <v>44000</v>
      </c>
      <c r="AH221">
        <v>108200</v>
      </c>
      <c r="AI221">
        <v>32</v>
      </c>
      <c r="AJ221">
        <v>6411</v>
      </c>
      <c r="AK221">
        <v>28470</v>
      </c>
      <c r="AL221">
        <v>66</v>
      </c>
      <c r="AM221">
        <v>50411</v>
      </c>
      <c r="AN221">
        <v>136670</v>
      </c>
    </row>
    <row r="222" spans="1:40" x14ac:dyDescent="0.3">
      <c r="A222" s="1">
        <v>44682</v>
      </c>
      <c r="B222">
        <v>2022</v>
      </c>
      <c r="C222" t="s">
        <v>19</v>
      </c>
      <c r="D222">
        <v>5</v>
      </c>
      <c r="E222">
        <v>48918</v>
      </c>
      <c r="F222">
        <v>39438</v>
      </c>
      <c r="G222">
        <v>9480</v>
      </c>
      <c r="H222">
        <v>15970</v>
      </c>
      <c r="I222">
        <v>12874</v>
      </c>
      <c r="J222">
        <v>3096</v>
      </c>
      <c r="K222">
        <v>3.1</v>
      </c>
      <c r="L222">
        <v>3.1</v>
      </c>
      <c r="M222">
        <v>3.1</v>
      </c>
      <c r="N222">
        <v>23103</v>
      </c>
      <c r="O222">
        <v>0</v>
      </c>
      <c r="P222">
        <v>0</v>
      </c>
      <c r="Q222">
        <v>38605</v>
      </c>
      <c r="R222">
        <v>21935</v>
      </c>
      <c r="S222">
        <v>56.8</v>
      </c>
      <c r="T222">
        <v>113277</v>
      </c>
      <c r="U222">
        <v>48918</v>
      </c>
      <c r="V222">
        <v>43.2</v>
      </c>
      <c r="AF222">
        <v>29</v>
      </c>
      <c r="AG222">
        <v>33213</v>
      </c>
      <c r="AH222">
        <v>87592</v>
      </c>
      <c r="AI222">
        <v>26</v>
      </c>
      <c r="AJ222">
        <v>5392</v>
      </c>
      <c r="AK222">
        <v>25685</v>
      </c>
      <c r="AL222">
        <v>55</v>
      </c>
      <c r="AM222">
        <v>38605</v>
      </c>
      <c r="AN222">
        <v>113277</v>
      </c>
    </row>
    <row r="223" spans="1:40" x14ac:dyDescent="0.3">
      <c r="A223" s="1">
        <v>44713</v>
      </c>
      <c r="B223">
        <v>2022</v>
      </c>
      <c r="C223" t="s">
        <v>20</v>
      </c>
      <c r="D223">
        <v>6</v>
      </c>
      <c r="E223">
        <v>49635</v>
      </c>
      <c r="F223">
        <v>39214</v>
      </c>
      <c r="G223">
        <v>10421</v>
      </c>
      <c r="H223">
        <v>15946</v>
      </c>
      <c r="I223">
        <v>12904</v>
      </c>
      <c r="J223">
        <v>3042</v>
      </c>
      <c r="K223">
        <v>3.1</v>
      </c>
      <c r="L223">
        <v>3</v>
      </c>
      <c r="M223">
        <v>3.4</v>
      </c>
      <c r="N223">
        <v>17398</v>
      </c>
      <c r="O223">
        <v>13916</v>
      </c>
      <c r="P223">
        <v>3482</v>
      </c>
      <c r="Q223">
        <v>40745</v>
      </c>
      <c r="R223">
        <v>23764</v>
      </c>
      <c r="S223">
        <v>58.3</v>
      </c>
      <c r="T223">
        <v>114022</v>
      </c>
      <c r="U223">
        <v>49635</v>
      </c>
      <c r="V223">
        <v>43.5</v>
      </c>
      <c r="AF223">
        <v>30</v>
      </c>
      <c r="AG223">
        <v>34925</v>
      </c>
      <c r="AH223">
        <v>88102</v>
      </c>
      <c r="AI223">
        <v>26</v>
      </c>
      <c r="AJ223">
        <v>5820</v>
      </c>
      <c r="AK223">
        <v>25920</v>
      </c>
      <c r="AL223">
        <v>56</v>
      </c>
      <c r="AM223">
        <v>40745</v>
      </c>
      <c r="AN223">
        <v>114022</v>
      </c>
    </row>
    <row r="224" spans="1:40" x14ac:dyDescent="0.3">
      <c r="A224" s="1">
        <v>44743</v>
      </c>
      <c r="B224">
        <v>2022</v>
      </c>
      <c r="C224" t="s">
        <v>21</v>
      </c>
      <c r="D224">
        <v>7</v>
      </c>
      <c r="E224">
        <v>87417</v>
      </c>
      <c r="F224">
        <v>67569</v>
      </c>
      <c r="G224">
        <v>19848</v>
      </c>
      <c r="H224">
        <v>24013</v>
      </c>
      <c r="I224">
        <v>17963</v>
      </c>
      <c r="J224">
        <v>6050</v>
      </c>
      <c r="K224">
        <v>3.6</v>
      </c>
      <c r="L224">
        <v>3.8</v>
      </c>
      <c r="M224">
        <v>3.3</v>
      </c>
      <c r="N224">
        <v>27400</v>
      </c>
      <c r="O224">
        <v>21140</v>
      </c>
      <c r="P224">
        <v>6260</v>
      </c>
      <c r="Q224">
        <v>52457</v>
      </c>
      <c r="R224">
        <v>37176</v>
      </c>
      <c r="S224">
        <v>70.900000000000006</v>
      </c>
      <c r="T224">
        <v>147078</v>
      </c>
      <c r="U224">
        <v>87417</v>
      </c>
      <c r="V224">
        <v>59.4</v>
      </c>
      <c r="AF224">
        <v>32</v>
      </c>
      <c r="AG224">
        <v>44149</v>
      </c>
      <c r="AH224">
        <v>110994</v>
      </c>
      <c r="AI224">
        <v>40</v>
      </c>
      <c r="AJ224">
        <v>8308</v>
      </c>
      <c r="AK224">
        <v>36084</v>
      </c>
      <c r="AL224">
        <v>72</v>
      </c>
      <c r="AM224">
        <v>52457</v>
      </c>
      <c r="AN224">
        <v>147078</v>
      </c>
    </row>
    <row r="225" spans="1:80" x14ac:dyDescent="0.3">
      <c r="A225" s="1">
        <v>44774</v>
      </c>
      <c r="B225">
        <v>2022</v>
      </c>
      <c r="C225" t="s">
        <v>22</v>
      </c>
      <c r="D225">
        <v>8</v>
      </c>
      <c r="E225">
        <v>94442</v>
      </c>
      <c r="F225">
        <v>76150</v>
      </c>
      <c r="G225">
        <v>18292</v>
      </c>
      <c r="H225">
        <v>27576</v>
      </c>
      <c r="I225">
        <v>21487</v>
      </c>
      <c r="J225">
        <v>6089</v>
      </c>
      <c r="K225">
        <v>3.4</v>
      </c>
      <c r="L225">
        <v>3.5</v>
      </c>
      <c r="M225">
        <v>3</v>
      </c>
      <c r="N225">
        <v>22681</v>
      </c>
      <c r="O225">
        <v>17747</v>
      </c>
      <c r="P225">
        <v>4934</v>
      </c>
      <c r="Q225">
        <v>53608</v>
      </c>
      <c r="R225">
        <v>40433</v>
      </c>
      <c r="S225">
        <v>75.400000000000006</v>
      </c>
      <c r="T225">
        <v>150337</v>
      </c>
      <c r="U225">
        <v>94442</v>
      </c>
      <c r="V225">
        <v>62.8</v>
      </c>
      <c r="AF225">
        <v>32</v>
      </c>
      <c r="AG225">
        <v>44330</v>
      </c>
      <c r="AH225">
        <v>111507</v>
      </c>
      <c r="AI225">
        <v>44</v>
      </c>
      <c r="AJ225">
        <v>9278</v>
      </c>
      <c r="AK225">
        <v>38830</v>
      </c>
      <c r="AL225">
        <v>76</v>
      </c>
      <c r="AM225">
        <v>53608</v>
      </c>
      <c r="AN225">
        <v>150337</v>
      </c>
    </row>
    <row r="226" spans="1:80" x14ac:dyDescent="0.3">
      <c r="A226" s="1">
        <v>44805</v>
      </c>
      <c r="B226">
        <v>2022</v>
      </c>
      <c r="C226" t="s">
        <v>23</v>
      </c>
      <c r="D226">
        <v>9</v>
      </c>
      <c r="E226">
        <v>90974</v>
      </c>
      <c r="F226">
        <v>71683</v>
      </c>
      <c r="G226">
        <v>19291</v>
      </c>
      <c r="H226">
        <v>28053</v>
      </c>
      <c r="I226">
        <v>21889</v>
      </c>
      <c r="J226">
        <v>6164</v>
      </c>
      <c r="K226">
        <v>3.2</v>
      </c>
      <c r="L226">
        <v>3.3</v>
      </c>
      <c r="M226">
        <v>3.1</v>
      </c>
      <c r="N226">
        <v>30008</v>
      </c>
      <c r="O226">
        <v>24896</v>
      </c>
      <c r="P226">
        <v>5112</v>
      </c>
      <c r="Q226">
        <v>50938</v>
      </c>
      <c r="R226">
        <v>39855</v>
      </c>
      <c r="S226">
        <v>78.2</v>
      </c>
      <c r="T226">
        <v>142406</v>
      </c>
      <c r="U226">
        <v>90974</v>
      </c>
      <c r="V226">
        <v>63.9</v>
      </c>
      <c r="W226" t="s">
        <v>34</v>
      </c>
      <c r="X226">
        <v>1</v>
      </c>
      <c r="Y226">
        <v>0</v>
      </c>
      <c r="Z226">
        <v>1</v>
      </c>
      <c r="AA226">
        <v>0</v>
      </c>
      <c r="AB226">
        <v>137</v>
      </c>
      <c r="AC226">
        <v>0</v>
      </c>
      <c r="AD226">
        <v>137</v>
      </c>
      <c r="AE226">
        <v>0</v>
      </c>
      <c r="AF226">
        <v>32</v>
      </c>
      <c r="AG226">
        <v>42090</v>
      </c>
      <c r="AH226">
        <v>106650</v>
      </c>
      <c r="AI226">
        <v>42</v>
      </c>
      <c r="AJ226">
        <v>8848</v>
      </c>
      <c r="AK226">
        <v>35756</v>
      </c>
      <c r="AL226">
        <v>74</v>
      </c>
      <c r="AM226">
        <v>50938</v>
      </c>
      <c r="AN226">
        <v>142406</v>
      </c>
    </row>
    <row r="227" spans="1:80" x14ac:dyDescent="0.3">
      <c r="A227" s="1">
        <v>44835</v>
      </c>
      <c r="B227">
        <v>2022</v>
      </c>
      <c r="C227" t="s">
        <v>24</v>
      </c>
      <c r="D227">
        <v>10</v>
      </c>
      <c r="E227">
        <v>79661</v>
      </c>
      <c r="F227">
        <v>60122</v>
      </c>
      <c r="G227">
        <v>19539</v>
      </c>
      <c r="H227">
        <v>27406</v>
      </c>
      <c r="I227">
        <v>20067</v>
      </c>
      <c r="J227">
        <v>7339</v>
      </c>
      <c r="K227">
        <v>2.9</v>
      </c>
      <c r="L227">
        <v>3</v>
      </c>
      <c r="M227">
        <v>2.7</v>
      </c>
      <c r="N227">
        <v>46344</v>
      </c>
      <c r="O227">
        <v>37014</v>
      </c>
      <c r="P227">
        <v>9330</v>
      </c>
      <c r="Q227">
        <v>51022</v>
      </c>
      <c r="R227">
        <v>35748</v>
      </c>
      <c r="S227">
        <v>70.099999999999994</v>
      </c>
      <c r="T227">
        <v>145100</v>
      </c>
      <c r="U227">
        <v>79661</v>
      </c>
      <c r="V227">
        <v>54.9</v>
      </c>
      <c r="W227" t="s">
        <v>34</v>
      </c>
      <c r="X227">
        <v>10</v>
      </c>
      <c r="Y227">
        <v>3</v>
      </c>
      <c r="Z227">
        <v>6</v>
      </c>
      <c r="AA227">
        <v>1</v>
      </c>
      <c r="AB227">
        <v>1334</v>
      </c>
      <c r="AC227">
        <v>471</v>
      </c>
      <c r="AD227">
        <v>594</v>
      </c>
      <c r="AE227">
        <v>269</v>
      </c>
      <c r="AF227">
        <v>32</v>
      </c>
      <c r="AG227">
        <v>41881</v>
      </c>
      <c r="AH227">
        <v>107818</v>
      </c>
      <c r="AI227">
        <v>44</v>
      </c>
      <c r="AJ227">
        <v>9141</v>
      </c>
      <c r="AK227">
        <v>37282</v>
      </c>
      <c r="AL227">
        <v>76</v>
      </c>
      <c r="AM227">
        <v>51022</v>
      </c>
      <c r="AN227">
        <v>145100</v>
      </c>
    </row>
    <row r="228" spans="1:80" x14ac:dyDescent="0.3">
      <c r="A228" s="1">
        <v>44866</v>
      </c>
      <c r="B228">
        <v>2022</v>
      </c>
      <c r="C228" t="s">
        <v>25</v>
      </c>
      <c r="D228">
        <v>11</v>
      </c>
      <c r="E228">
        <v>82786</v>
      </c>
      <c r="F228">
        <v>52979</v>
      </c>
      <c r="G228">
        <v>29807</v>
      </c>
      <c r="H228">
        <v>32539</v>
      </c>
      <c r="I228">
        <v>19401</v>
      </c>
      <c r="J228">
        <v>13138</v>
      </c>
      <c r="K228">
        <v>2.5</v>
      </c>
      <c r="L228">
        <v>2.7</v>
      </c>
      <c r="M228">
        <v>2.2999999999999998</v>
      </c>
      <c r="N228">
        <v>43479</v>
      </c>
      <c r="O228">
        <v>26385</v>
      </c>
      <c r="P228">
        <v>17094</v>
      </c>
      <c r="Q228">
        <v>50978</v>
      </c>
      <c r="R228">
        <v>38828</v>
      </c>
      <c r="S228">
        <v>76.2</v>
      </c>
      <c r="T228">
        <v>144496</v>
      </c>
      <c r="U228">
        <v>82786</v>
      </c>
      <c r="V228">
        <v>57.3</v>
      </c>
      <c r="W228" t="s">
        <v>34</v>
      </c>
      <c r="X228">
        <v>95</v>
      </c>
      <c r="Y228">
        <v>78</v>
      </c>
      <c r="Z228">
        <v>9</v>
      </c>
      <c r="AA228">
        <v>8</v>
      </c>
      <c r="AB228">
        <v>15856</v>
      </c>
      <c r="AC228">
        <v>12272</v>
      </c>
      <c r="AD228">
        <v>943</v>
      </c>
      <c r="AE228">
        <v>2641</v>
      </c>
      <c r="AF228">
        <v>34</v>
      </c>
      <c r="AG228">
        <v>41730</v>
      </c>
      <c r="AH228">
        <v>106920</v>
      </c>
      <c r="AI228">
        <v>44</v>
      </c>
      <c r="AJ228">
        <v>9248</v>
      </c>
      <c r="AK228">
        <v>37576</v>
      </c>
      <c r="AL228">
        <v>78</v>
      </c>
      <c r="AM228">
        <v>50978</v>
      </c>
      <c r="AN228">
        <v>144496</v>
      </c>
    </row>
    <row r="229" spans="1:80" x14ac:dyDescent="0.3">
      <c r="A229" s="1">
        <v>44896</v>
      </c>
      <c r="B229">
        <v>2022</v>
      </c>
      <c r="C229" t="s">
        <v>26</v>
      </c>
      <c r="D229">
        <v>12</v>
      </c>
      <c r="E229">
        <v>66935</v>
      </c>
      <c r="F229">
        <v>36027</v>
      </c>
      <c r="G229">
        <v>30908</v>
      </c>
      <c r="H229">
        <v>27399</v>
      </c>
      <c r="I229">
        <v>13899</v>
      </c>
      <c r="J229">
        <v>13500</v>
      </c>
      <c r="K229">
        <v>2.4</v>
      </c>
      <c r="L229">
        <v>2.6</v>
      </c>
      <c r="M229">
        <v>2.2999999999999998</v>
      </c>
      <c r="N229">
        <v>40663</v>
      </c>
      <c r="O229">
        <v>17968</v>
      </c>
      <c r="P229">
        <v>22665</v>
      </c>
      <c r="Q229">
        <v>52192</v>
      </c>
      <c r="R229">
        <v>31156</v>
      </c>
      <c r="S229">
        <v>59.7</v>
      </c>
      <c r="T229">
        <v>147844</v>
      </c>
      <c r="U229">
        <v>66935</v>
      </c>
      <c r="V229">
        <v>45.3</v>
      </c>
      <c r="W229" t="s">
        <v>34</v>
      </c>
      <c r="X229">
        <v>109</v>
      </c>
      <c r="Y229">
        <v>93</v>
      </c>
      <c r="Z229">
        <v>10</v>
      </c>
      <c r="AA229">
        <v>6</v>
      </c>
      <c r="AB229">
        <v>25898</v>
      </c>
      <c r="AC229">
        <v>16712</v>
      </c>
      <c r="AD229">
        <v>998</v>
      </c>
      <c r="AE229">
        <v>8188</v>
      </c>
      <c r="AF229">
        <v>34</v>
      </c>
      <c r="AG229">
        <v>42713</v>
      </c>
      <c r="AH229">
        <v>109790</v>
      </c>
      <c r="AI229">
        <v>44</v>
      </c>
      <c r="AJ229">
        <v>9479</v>
      </c>
      <c r="AK229">
        <v>38054</v>
      </c>
      <c r="AL229">
        <v>78</v>
      </c>
      <c r="AM229">
        <v>52192</v>
      </c>
      <c r="AN229">
        <v>147844</v>
      </c>
    </row>
    <row r="230" spans="1:80" x14ac:dyDescent="0.3">
      <c r="A230" s="1">
        <v>44927</v>
      </c>
      <c r="B230">
        <v>2023</v>
      </c>
      <c r="C230" t="s">
        <v>15</v>
      </c>
      <c r="D230">
        <v>1</v>
      </c>
      <c r="E230">
        <v>98744</v>
      </c>
      <c r="F230">
        <v>51241</v>
      </c>
      <c r="G230">
        <v>47503</v>
      </c>
      <c r="H230">
        <v>40836</v>
      </c>
      <c r="I230">
        <v>19402</v>
      </c>
      <c r="J230">
        <v>21434</v>
      </c>
      <c r="K230">
        <v>2.4</v>
      </c>
      <c r="L230">
        <v>2.6</v>
      </c>
      <c r="M230">
        <v>2.2000000000000002</v>
      </c>
      <c r="N230">
        <v>58603</v>
      </c>
      <c r="O230">
        <v>31521</v>
      </c>
      <c r="P230">
        <v>27082</v>
      </c>
      <c r="Q230">
        <v>59644</v>
      </c>
      <c r="R230">
        <v>45099</v>
      </c>
      <c r="S230">
        <v>75.6136409362216</v>
      </c>
      <c r="T230">
        <v>162409</v>
      </c>
      <c r="U230">
        <v>98744</v>
      </c>
      <c r="V230">
        <v>60.799586229827199</v>
      </c>
      <c r="W230" t="s">
        <v>34</v>
      </c>
      <c r="X230">
        <v>127</v>
      </c>
      <c r="Y230">
        <v>115</v>
      </c>
      <c r="Z230">
        <v>8</v>
      </c>
      <c r="AA230">
        <v>4</v>
      </c>
      <c r="AB230">
        <v>39170</v>
      </c>
      <c r="AC230">
        <v>32338</v>
      </c>
      <c r="AD230">
        <v>998</v>
      </c>
      <c r="AE230">
        <v>5834</v>
      </c>
      <c r="AF230">
        <v>35</v>
      </c>
      <c r="AG230">
        <v>49786</v>
      </c>
      <c r="AH230">
        <v>123938</v>
      </c>
      <c r="AI230">
        <v>45</v>
      </c>
      <c r="AJ230">
        <v>9858</v>
      </c>
      <c r="AK230">
        <v>38471</v>
      </c>
      <c r="AL230">
        <v>80</v>
      </c>
      <c r="AM230">
        <v>59644</v>
      </c>
      <c r="AN230">
        <v>162409</v>
      </c>
      <c r="AO230">
        <v>40836</v>
      </c>
      <c r="AP230">
        <v>19402</v>
      </c>
      <c r="AQ230">
        <v>21434</v>
      </c>
      <c r="AR230">
        <v>98744</v>
      </c>
      <c r="AS230">
        <v>51241</v>
      </c>
      <c r="AT230">
        <v>47503</v>
      </c>
      <c r="AU230">
        <v>4680</v>
      </c>
      <c r="AV230">
        <v>2576</v>
      </c>
      <c r="AW230">
        <v>1385</v>
      </c>
      <c r="AX230">
        <v>878</v>
      </c>
      <c r="AY230">
        <v>109</v>
      </c>
      <c r="AZ230">
        <v>58</v>
      </c>
      <c r="BA230">
        <v>136</v>
      </c>
      <c r="BB230">
        <v>3437</v>
      </c>
      <c r="BC230">
        <v>487</v>
      </c>
      <c r="BD230">
        <v>98</v>
      </c>
      <c r="BE230">
        <v>829</v>
      </c>
      <c r="BF230">
        <v>4757</v>
      </c>
      <c r="BG230">
        <v>736</v>
      </c>
      <c r="BH230">
        <v>668</v>
      </c>
      <c r="BI230">
        <v>650</v>
      </c>
      <c r="BJ230">
        <v>1021</v>
      </c>
      <c r="BK230">
        <v>1081</v>
      </c>
      <c r="BL230">
        <v>12412</v>
      </c>
      <c r="BM230">
        <v>7493</v>
      </c>
      <c r="BN230">
        <v>4093</v>
      </c>
      <c r="BO230">
        <v>2364</v>
      </c>
      <c r="BP230">
        <v>357</v>
      </c>
      <c r="BQ230">
        <v>139</v>
      </c>
      <c r="BR230">
        <v>386</v>
      </c>
      <c r="BS230">
        <v>9340</v>
      </c>
      <c r="BT230">
        <v>884</v>
      </c>
      <c r="BU230">
        <v>223</v>
      </c>
      <c r="BV230">
        <v>1885</v>
      </c>
      <c r="BW230">
        <v>9340</v>
      </c>
      <c r="BX230">
        <v>1440</v>
      </c>
      <c r="BY230">
        <v>1423</v>
      </c>
      <c r="BZ230">
        <v>1397</v>
      </c>
      <c r="CA230">
        <v>2496</v>
      </c>
      <c r="CB230">
        <v>2101</v>
      </c>
    </row>
    <row r="231" spans="1:80" x14ac:dyDescent="0.3">
      <c r="A231" s="1">
        <v>44958</v>
      </c>
      <c r="B231">
        <v>2023</v>
      </c>
      <c r="C231" t="s">
        <v>16</v>
      </c>
      <c r="D231">
        <v>2</v>
      </c>
      <c r="E231">
        <v>80368</v>
      </c>
      <c r="F231">
        <v>40678</v>
      </c>
      <c r="G231">
        <v>39690</v>
      </c>
      <c r="H231">
        <v>33194</v>
      </c>
      <c r="I231">
        <v>15397</v>
      </c>
      <c r="J231">
        <v>17797</v>
      </c>
      <c r="K231">
        <v>2.4</v>
      </c>
      <c r="L231">
        <v>2.6</v>
      </c>
      <c r="M231">
        <v>2.2000000000000002</v>
      </c>
      <c r="N231">
        <v>49283</v>
      </c>
      <c r="O231">
        <v>25766</v>
      </c>
      <c r="P231">
        <v>23517</v>
      </c>
      <c r="Q231">
        <v>52444</v>
      </c>
      <c r="R231">
        <v>36796</v>
      </c>
      <c r="S231">
        <v>70.162459003889893</v>
      </c>
      <c r="T231">
        <v>145572</v>
      </c>
      <c r="U231">
        <v>80368</v>
      </c>
      <c r="V231">
        <v>55.208419201494799</v>
      </c>
      <c r="W231" t="s">
        <v>34</v>
      </c>
      <c r="X231">
        <v>91</v>
      </c>
      <c r="Y231">
        <v>75</v>
      </c>
      <c r="Z231">
        <v>8</v>
      </c>
      <c r="AA231">
        <v>8</v>
      </c>
      <c r="AB231">
        <v>33817</v>
      </c>
      <c r="AC231">
        <v>23889</v>
      </c>
      <c r="AD231">
        <v>1007</v>
      </c>
      <c r="AE231">
        <v>8921</v>
      </c>
      <c r="AF231">
        <v>35</v>
      </c>
      <c r="AG231">
        <v>43652</v>
      </c>
      <c r="AH231">
        <v>109564</v>
      </c>
      <c r="AI231">
        <v>47</v>
      </c>
      <c r="AJ231">
        <v>8792</v>
      </c>
      <c r="AK231">
        <v>36008</v>
      </c>
      <c r="AL231">
        <v>82</v>
      </c>
      <c r="AM231">
        <v>52444</v>
      </c>
      <c r="AN231">
        <v>145572</v>
      </c>
      <c r="AO231">
        <v>33194</v>
      </c>
      <c r="AP231">
        <v>15397</v>
      </c>
      <c r="AQ231">
        <v>17797</v>
      </c>
      <c r="AR231">
        <v>80368</v>
      </c>
      <c r="AS231">
        <v>40678</v>
      </c>
      <c r="AT231">
        <v>39690</v>
      </c>
      <c r="AU231">
        <v>4786</v>
      </c>
      <c r="AV231">
        <v>2016</v>
      </c>
      <c r="AW231">
        <v>1201</v>
      </c>
      <c r="AX231">
        <v>594</v>
      </c>
      <c r="AY231">
        <v>128</v>
      </c>
      <c r="AZ231">
        <v>45</v>
      </c>
      <c r="BA231">
        <v>37</v>
      </c>
      <c r="BB231">
        <v>1465</v>
      </c>
      <c r="BC231">
        <v>512</v>
      </c>
      <c r="BD231">
        <v>57</v>
      </c>
      <c r="BE231">
        <v>537</v>
      </c>
      <c r="BF231">
        <v>4074</v>
      </c>
      <c r="BG231">
        <v>694</v>
      </c>
      <c r="BH231">
        <v>794</v>
      </c>
      <c r="BI231">
        <v>542</v>
      </c>
      <c r="BJ231">
        <v>504</v>
      </c>
      <c r="BK231">
        <v>2408</v>
      </c>
      <c r="BL231">
        <v>13636</v>
      </c>
      <c r="BM231">
        <v>6009</v>
      </c>
      <c r="BN231">
        <v>3650</v>
      </c>
      <c r="BO231">
        <v>1645</v>
      </c>
      <c r="BP231">
        <v>406</v>
      </c>
      <c r="BQ231">
        <v>136</v>
      </c>
      <c r="BR231">
        <v>112</v>
      </c>
      <c r="BS231">
        <v>4280</v>
      </c>
      <c r="BT231">
        <v>1404</v>
      </c>
      <c r="BU231">
        <v>161</v>
      </c>
      <c r="BV231">
        <v>1263</v>
      </c>
      <c r="BW231">
        <v>7910</v>
      </c>
      <c r="BX231">
        <v>1628</v>
      </c>
      <c r="BY231">
        <v>1848</v>
      </c>
      <c r="BZ231">
        <v>1261</v>
      </c>
      <c r="CA231">
        <v>1168</v>
      </c>
      <c r="CB231">
        <v>5239</v>
      </c>
    </row>
    <row r="232" spans="1:80" x14ac:dyDescent="0.3">
      <c r="A232" s="1">
        <v>44986</v>
      </c>
      <c r="B232">
        <v>2023</v>
      </c>
      <c r="C232" t="s">
        <v>17</v>
      </c>
      <c r="D232">
        <v>3</v>
      </c>
      <c r="E232">
        <v>88333</v>
      </c>
      <c r="F232">
        <v>54495</v>
      </c>
      <c r="G232">
        <v>33838</v>
      </c>
      <c r="H232">
        <v>33761</v>
      </c>
      <c r="I232">
        <v>19543</v>
      </c>
      <c r="J232">
        <v>14218</v>
      </c>
      <c r="K232">
        <v>2.6</v>
      </c>
      <c r="L232">
        <v>2.8</v>
      </c>
      <c r="M232">
        <v>2.4</v>
      </c>
      <c r="N232">
        <v>44677</v>
      </c>
      <c r="O232">
        <v>21585</v>
      </c>
      <c r="P232">
        <v>23092</v>
      </c>
      <c r="Q232">
        <v>59520</v>
      </c>
      <c r="R232">
        <v>42169</v>
      </c>
      <c r="S232">
        <v>70.848454301075293</v>
      </c>
      <c r="T232">
        <v>163184</v>
      </c>
      <c r="U232">
        <v>88333</v>
      </c>
      <c r="V232">
        <v>54.130919698009599</v>
      </c>
      <c r="W232" t="s">
        <v>34</v>
      </c>
      <c r="X232">
        <v>72</v>
      </c>
      <c r="Y232">
        <v>45</v>
      </c>
      <c r="Z232">
        <v>11</v>
      </c>
      <c r="AA232">
        <v>16</v>
      </c>
      <c r="AB232">
        <v>26511</v>
      </c>
      <c r="AC232">
        <v>10808</v>
      </c>
      <c r="AD232">
        <v>1298</v>
      </c>
      <c r="AE232">
        <v>14405</v>
      </c>
      <c r="AF232">
        <v>35</v>
      </c>
      <c r="AG232">
        <v>49972</v>
      </c>
      <c r="AH232">
        <v>123163</v>
      </c>
      <c r="AI232">
        <v>47</v>
      </c>
      <c r="AJ232">
        <v>9548</v>
      </c>
      <c r="AK232">
        <v>40021</v>
      </c>
      <c r="AL232">
        <v>82</v>
      </c>
      <c r="AM232">
        <v>59520</v>
      </c>
      <c r="AN232">
        <v>163184</v>
      </c>
      <c r="AO232">
        <v>33761</v>
      </c>
      <c r="AP232">
        <v>19543</v>
      </c>
      <c r="AQ232">
        <v>14218</v>
      </c>
      <c r="AR232">
        <v>88333</v>
      </c>
      <c r="AS232">
        <v>54495</v>
      </c>
      <c r="AT232">
        <v>33838</v>
      </c>
      <c r="AU232">
        <v>5448</v>
      </c>
      <c r="AV232">
        <v>2463</v>
      </c>
      <c r="AW232">
        <v>1194</v>
      </c>
      <c r="AX232">
        <v>772</v>
      </c>
      <c r="AY232">
        <v>85</v>
      </c>
      <c r="AZ232">
        <v>31</v>
      </c>
      <c r="BA232">
        <v>26</v>
      </c>
      <c r="BB232">
        <v>1449</v>
      </c>
      <c r="BC232">
        <v>357</v>
      </c>
      <c r="BD232">
        <v>59</v>
      </c>
      <c r="BE232">
        <v>581</v>
      </c>
      <c r="BF232">
        <v>3031</v>
      </c>
      <c r="BG232">
        <v>411</v>
      </c>
      <c r="BH232">
        <v>851</v>
      </c>
      <c r="BI232">
        <v>502</v>
      </c>
      <c r="BJ232">
        <v>377</v>
      </c>
      <c r="BK232">
        <v>1734</v>
      </c>
      <c r="BL232">
        <v>15942</v>
      </c>
      <c r="BM232">
        <v>7759</v>
      </c>
      <c r="BN232">
        <v>3418</v>
      </c>
      <c r="BO232">
        <v>2445</v>
      </c>
      <c r="BP232">
        <v>296</v>
      </c>
      <c r="BQ232">
        <v>94</v>
      </c>
      <c r="BR232">
        <v>81</v>
      </c>
      <c r="BS232">
        <v>4085</v>
      </c>
      <c r="BT232">
        <v>844</v>
      </c>
      <c r="BU232">
        <v>170</v>
      </c>
      <c r="BV232">
        <v>1390</v>
      </c>
      <c r="BW232">
        <v>5530</v>
      </c>
      <c r="BX232">
        <v>1091</v>
      </c>
      <c r="BY232">
        <v>2044</v>
      </c>
      <c r="BZ232">
        <v>1066</v>
      </c>
      <c r="CA232">
        <v>919</v>
      </c>
      <c r="CB232">
        <v>3362</v>
      </c>
    </row>
    <row r="233" spans="1:80" x14ac:dyDescent="0.3">
      <c r="A233" s="1">
        <v>45017</v>
      </c>
      <c r="B233">
        <v>2023</v>
      </c>
      <c r="C233" t="s">
        <v>18</v>
      </c>
      <c r="D233">
        <v>4</v>
      </c>
      <c r="E233">
        <v>63765</v>
      </c>
      <c r="F233">
        <v>47738</v>
      </c>
      <c r="G233">
        <v>16027</v>
      </c>
      <c r="H233">
        <v>23617</v>
      </c>
      <c r="I233">
        <v>16769</v>
      </c>
      <c r="J233">
        <v>6848</v>
      </c>
      <c r="K233">
        <v>2.7</v>
      </c>
      <c r="L233">
        <v>2.8</v>
      </c>
      <c r="M233">
        <v>2.2999999999999998</v>
      </c>
      <c r="N233">
        <v>32364</v>
      </c>
      <c r="O233">
        <v>20802</v>
      </c>
      <c r="P233">
        <v>11562</v>
      </c>
      <c r="Q233">
        <v>53394</v>
      </c>
      <c r="R233">
        <v>29792</v>
      </c>
      <c r="S233">
        <v>55.8</v>
      </c>
      <c r="T233">
        <v>146064</v>
      </c>
      <c r="U233">
        <v>63765</v>
      </c>
      <c r="V233">
        <v>43.7</v>
      </c>
      <c r="W233" t="s">
        <v>34</v>
      </c>
      <c r="X233">
        <v>4</v>
      </c>
      <c r="Y233">
        <v>0</v>
      </c>
      <c r="Z233">
        <v>2</v>
      </c>
      <c r="AA233">
        <v>2</v>
      </c>
      <c r="AB233">
        <v>459</v>
      </c>
      <c r="AC233">
        <v>0</v>
      </c>
      <c r="AD233">
        <v>258</v>
      </c>
      <c r="AE233">
        <v>201</v>
      </c>
      <c r="AF233">
        <v>33</v>
      </c>
      <c r="AG233">
        <v>46194</v>
      </c>
      <c r="AH233">
        <v>113622</v>
      </c>
      <c r="AI233">
        <v>40</v>
      </c>
      <c r="AJ233">
        <v>7200</v>
      </c>
      <c r="AK233">
        <v>32442</v>
      </c>
      <c r="AL233">
        <v>73</v>
      </c>
      <c r="AM233">
        <v>53394</v>
      </c>
      <c r="AN233">
        <v>146064</v>
      </c>
      <c r="AO233">
        <v>23617</v>
      </c>
      <c r="AP233">
        <v>16769</v>
      </c>
      <c r="AQ233">
        <v>6848</v>
      </c>
      <c r="AR233">
        <v>63765</v>
      </c>
      <c r="AS233">
        <v>47738</v>
      </c>
      <c r="AT233">
        <v>16027</v>
      </c>
      <c r="AU233">
        <v>6213</v>
      </c>
      <c r="AV233">
        <v>1572</v>
      </c>
      <c r="AW233">
        <v>1037</v>
      </c>
      <c r="AX233">
        <v>669</v>
      </c>
      <c r="AY233">
        <v>75</v>
      </c>
      <c r="AZ233">
        <v>14</v>
      </c>
      <c r="BA233">
        <v>8</v>
      </c>
      <c r="BB233">
        <v>1162</v>
      </c>
      <c r="BC233">
        <v>265</v>
      </c>
      <c r="BD233">
        <v>149</v>
      </c>
      <c r="BE233">
        <v>739</v>
      </c>
      <c r="BF233">
        <v>745</v>
      </c>
      <c r="BG233">
        <v>152</v>
      </c>
      <c r="BH233">
        <v>377</v>
      </c>
      <c r="BI233">
        <v>88</v>
      </c>
      <c r="BJ233">
        <v>98</v>
      </c>
      <c r="BK233">
        <v>368</v>
      </c>
      <c r="BL233">
        <v>18304</v>
      </c>
      <c r="BM233">
        <v>5002</v>
      </c>
      <c r="BN233">
        <v>2938</v>
      </c>
      <c r="BO233">
        <v>2285</v>
      </c>
      <c r="BP233">
        <v>205</v>
      </c>
      <c r="BQ233">
        <v>37</v>
      </c>
      <c r="BR233">
        <v>34</v>
      </c>
      <c r="BS233">
        <v>3263</v>
      </c>
      <c r="BT233">
        <v>595</v>
      </c>
      <c r="BU233">
        <v>415</v>
      </c>
      <c r="BV233">
        <v>1975</v>
      </c>
      <c r="BW233">
        <v>1617</v>
      </c>
      <c r="BX233">
        <v>306</v>
      </c>
      <c r="BY233">
        <v>968</v>
      </c>
      <c r="BZ233">
        <v>195</v>
      </c>
      <c r="CA233">
        <v>235</v>
      </c>
      <c r="CB233">
        <v>855</v>
      </c>
    </row>
    <row r="234" spans="1:80" x14ac:dyDescent="0.3">
      <c r="A234" s="1">
        <v>45047</v>
      </c>
      <c r="B234">
        <v>2023</v>
      </c>
      <c r="C234" t="s">
        <v>19</v>
      </c>
      <c r="D234">
        <v>5</v>
      </c>
      <c r="E234">
        <v>45549</v>
      </c>
      <c r="F234">
        <v>37260</v>
      </c>
      <c r="G234">
        <v>8289</v>
      </c>
      <c r="H234">
        <v>16899</v>
      </c>
      <c r="I234">
        <v>13622</v>
      </c>
      <c r="J234">
        <v>3277</v>
      </c>
      <c r="K234">
        <v>2.7</v>
      </c>
      <c r="L234">
        <v>2.7</v>
      </c>
      <c r="M234">
        <v>2.5</v>
      </c>
      <c r="N234">
        <v>27647</v>
      </c>
      <c r="O234">
        <v>21604</v>
      </c>
      <c r="P234">
        <v>6043</v>
      </c>
      <c r="Q234">
        <v>51251</v>
      </c>
      <c r="R234">
        <v>22967</v>
      </c>
      <c r="S234">
        <v>44.8</v>
      </c>
      <c r="T234">
        <v>137727</v>
      </c>
      <c r="U234">
        <v>45549</v>
      </c>
      <c r="V234">
        <v>33.1</v>
      </c>
      <c r="AF234">
        <v>32</v>
      </c>
      <c r="AG234">
        <v>44630</v>
      </c>
      <c r="AH234">
        <v>108231</v>
      </c>
      <c r="AI234">
        <v>34</v>
      </c>
      <c r="AJ234">
        <v>6621</v>
      </c>
      <c r="AK234">
        <v>29496</v>
      </c>
      <c r="AL234">
        <v>66</v>
      </c>
      <c r="AM234">
        <v>51251</v>
      </c>
      <c r="AN234">
        <v>137727</v>
      </c>
      <c r="AO234">
        <v>16899</v>
      </c>
      <c r="AP234">
        <v>13622</v>
      </c>
      <c r="AQ234">
        <v>3277</v>
      </c>
      <c r="AR234">
        <v>45549</v>
      </c>
      <c r="AS234">
        <v>37260</v>
      </c>
      <c r="AT234">
        <v>8289</v>
      </c>
      <c r="AU234">
        <v>4952</v>
      </c>
      <c r="AV234">
        <v>1526</v>
      </c>
      <c r="AW234">
        <v>1449</v>
      </c>
      <c r="AX234">
        <v>504</v>
      </c>
      <c r="AY234">
        <v>68</v>
      </c>
      <c r="AZ234">
        <v>31</v>
      </c>
      <c r="BA234">
        <v>37</v>
      </c>
      <c r="BB234">
        <v>1014</v>
      </c>
      <c r="BC234">
        <v>89</v>
      </c>
      <c r="BD234">
        <v>74</v>
      </c>
      <c r="BE234">
        <v>393</v>
      </c>
      <c r="BF234">
        <v>198</v>
      </c>
      <c r="BG234">
        <v>26</v>
      </c>
      <c r="BH234">
        <v>153</v>
      </c>
      <c r="BI234">
        <v>29</v>
      </c>
      <c r="BJ234">
        <v>29</v>
      </c>
      <c r="BK234">
        <v>218</v>
      </c>
      <c r="BL234">
        <v>14556</v>
      </c>
      <c r="BM234">
        <v>4573</v>
      </c>
      <c r="BN234">
        <v>4512</v>
      </c>
      <c r="BO234">
        <v>1697</v>
      </c>
      <c r="BP234">
        <v>160</v>
      </c>
      <c r="BQ234">
        <v>96</v>
      </c>
      <c r="BR234">
        <v>221</v>
      </c>
      <c r="BS234">
        <v>3058</v>
      </c>
      <c r="BT234">
        <v>195</v>
      </c>
      <c r="BU234">
        <v>239</v>
      </c>
      <c r="BV234">
        <v>895</v>
      </c>
      <c r="BW234">
        <v>481</v>
      </c>
      <c r="BX234">
        <v>77</v>
      </c>
      <c r="BY234">
        <v>480</v>
      </c>
      <c r="BZ234">
        <v>57</v>
      </c>
      <c r="CA234">
        <v>119</v>
      </c>
      <c r="CB234">
        <v>543</v>
      </c>
    </row>
    <row r="235" spans="1:80" x14ac:dyDescent="0.3">
      <c r="A235" s="1">
        <v>45078</v>
      </c>
      <c r="B235">
        <v>2023</v>
      </c>
      <c r="C235" t="s">
        <v>20</v>
      </c>
      <c r="D235">
        <v>6</v>
      </c>
      <c r="E235">
        <v>61461</v>
      </c>
      <c r="F235">
        <v>50310</v>
      </c>
      <c r="G235">
        <v>11151</v>
      </c>
      <c r="H235">
        <v>20640</v>
      </c>
      <c r="I235">
        <v>16753</v>
      </c>
      <c r="J235">
        <v>3887</v>
      </c>
      <c r="K235">
        <v>3</v>
      </c>
      <c r="L235">
        <v>3</v>
      </c>
      <c r="M235">
        <v>2.9</v>
      </c>
      <c r="N235">
        <v>29629</v>
      </c>
      <c r="O235">
        <v>23171</v>
      </c>
      <c r="P235">
        <v>6458</v>
      </c>
      <c r="Q235">
        <v>55260</v>
      </c>
      <c r="R235">
        <v>30967</v>
      </c>
      <c r="S235">
        <v>56</v>
      </c>
      <c r="T235">
        <v>148026</v>
      </c>
      <c r="U235">
        <v>61461</v>
      </c>
      <c r="V235">
        <v>41.5</v>
      </c>
      <c r="AF235">
        <v>33</v>
      </c>
      <c r="AG235">
        <v>46830</v>
      </c>
      <c r="AH235">
        <v>114066</v>
      </c>
      <c r="AI235">
        <v>40</v>
      </c>
      <c r="AJ235">
        <v>8430</v>
      </c>
      <c r="AK235">
        <v>33960</v>
      </c>
      <c r="AL235">
        <v>73</v>
      </c>
      <c r="AM235">
        <v>55260</v>
      </c>
      <c r="AN235">
        <v>148026</v>
      </c>
      <c r="AO235">
        <v>20640</v>
      </c>
      <c r="AP235">
        <v>16753</v>
      </c>
      <c r="AQ235">
        <v>3887</v>
      </c>
      <c r="AR235">
        <v>61461</v>
      </c>
      <c r="AS235">
        <v>50310</v>
      </c>
      <c r="AT235">
        <v>11151</v>
      </c>
      <c r="AU235">
        <v>4174</v>
      </c>
      <c r="AV235">
        <v>2396</v>
      </c>
      <c r="AW235">
        <v>2040</v>
      </c>
      <c r="AX235">
        <v>501</v>
      </c>
      <c r="AY235">
        <v>37</v>
      </c>
      <c r="AZ235">
        <v>42</v>
      </c>
      <c r="BA235">
        <v>25</v>
      </c>
      <c r="BB235">
        <v>1698</v>
      </c>
      <c r="BC235">
        <v>72</v>
      </c>
      <c r="BD235">
        <v>105</v>
      </c>
      <c r="BE235">
        <v>575</v>
      </c>
      <c r="BF235">
        <v>261</v>
      </c>
      <c r="BG235">
        <v>21</v>
      </c>
      <c r="BH235">
        <v>65</v>
      </c>
      <c r="BI235">
        <v>10</v>
      </c>
      <c r="BJ235">
        <v>16</v>
      </c>
      <c r="BK235">
        <v>78</v>
      </c>
      <c r="BL235">
        <v>13355</v>
      </c>
      <c r="BM235">
        <v>8251</v>
      </c>
      <c r="BN235">
        <v>6033</v>
      </c>
      <c r="BO235">
        <v>1814</v>
      </c>
      <c r="BP235">
        <v>119</v>
      </c>
      <c r="BQ235">
        <v>143</v>
      </c>
      <c r="BR235">
        <v>80</v>
      </c>
      <c r="BS235">
        <v>5426</v>
      </c>
      <c r="BT235">
        <v>218</v>
      </c>
      <c r="BU235">
        <v>369</v>
      </c>
      <c r="BV235">
        <v>1431</v>
      </c>
      <c r="BW235">
        <v>631</v>
      </c>
      <c r="BX235">
        <v>82</v>
      </c>
      <c r="BY235">
        <v>160</v>
      </c>
      <c r="BZ235">
        <v>33</v>
      </c>
      <c r="CA235">
        <v>46</v>
      </c>
      <c r="CB235">
        <v>268</v>
      </c>
    </row>
    <row r="236" spans="1:80" x14ac:dyDescent="0.3">
      <c r="A236" s="1">
        <v>45108</v>
      </c>
      <c r="B236">
        <v>2023</v>
      </c>
      <c r="C236" t="s">
        <v>21</v>
      </c>
      <c r="D236">
        <v>7</v>
      </c>
      <c r="E236">
        <v>89623</v>
      </c>
      <c r="F236">
        <v>66793</v>
      </c>
      <c r="G236">
        <v>22830</v>
      </c>
      <c r="H236">
        <v>27544</v>
      </c>
      <c r="I236">
        <v>19284</v>
      </c>
      <c r="J236">
        <v>8260</v>
      </c>
      <c r="K236">
        <v>3.2538120824862</v>
      </c>
      <c r="L236">
        <v>3.4636486206181298</v>
      </c>
      <c r="M236">
        <v>2.7639225181598102</v>
      </c>
      <c r="N236">
        <v>33800</v>
      </c>
      <c r="O236">
        <v>23969</v>
      </c>
      <c r="P236">
        <v>9831</v>
      </c>
      <c r="AF236">
        <v>33</v>
      </c>
      <c r="AG236">
        <v>48732</v>
      </c>
      <c r="AH236">
        <v>118885</v>
      </c>
      <c r="AI236">
        <v>41</v>
      </c>
      <c r="AJ236">
        <v>8866</v>
      </c>
      <c r="AK236">
        <v>36487</v>
      </c>
      <c r="AL236">
        <v>74</v>
      </c>
      <c r="AM236">
        <v>57598</v>
      </c>
      <c r="AN236">
        <v>155372</v>
      </c>
      <c r="AO236">
        <v>27544</v>
      </c>
      <c r="AP236">
        <v>19284</v>
      </c>
      <c r="AQ236">
        <v>8260</v>
      </c>
      <c r="AR236">
        <v>89623</v>
      </c>
      <c r="AS236">
        <v>66793</v>
      </c>
      <c r="AT236">
        <v>22830</v>
      </c>
      <c r="AU236">
        <v>5905</v>
      </c>
      <c r="AV236">
        <v>3078</v>
      </c>
      <c r="AW236">
        <v>1140</v>
      </c>
      <c r="AX236">
        <v>447</v>
      </c>
      <c r="AY236">
        <v>88</v>
      </c>
      <c r="AZ236">
        <v>38</v>
      </c>
      <c r="BA236">
        <v>36</v>
      </c>
      <c r="BB236">
        <v>4791</v>
      </c>
      <c r="BC236">
        <v>104</v>
      </c>
      <c r="BD236">
        <v>209</v>
      </c>
      <c r="BE236">
        <v>476</v>
      </c>
      <c r="BF236">
        <v>168</v>
      </c>
      <c r="BG236">
        <v>9</v>
      </c>
      <c r="BH236">
        <v>111</v>
      </c>
      <c r="BI236">
        <v>4</v>
      </c>
      <c r="BJ236">
        <v>39</v>
      </c>
      <c r="BK236">
        <v>374</v>
      </c>
      <c r="BL236">
        <v>23200</v>
      </c>
      <c r="BM236">
        <v>11780</v>
      </c>
      <c r="BN236">
        <v>3913</v>
      </c>
      <c r="BO236">
        <v>1525</v>
      </c>
      <c r="BP236">
        <v>281</v>
      </c>
      <c r="BQ236">
        <v>122</v>
      </c>
      <c r="BR236">
        <v>108</v>
      </c>
      <c r="BS236">
        <v>14446</v>
      </c>
      <c r="BT236">
        <v>281</v>
      </c>
      <c r="BU236">
        <v>800</v>
      </c>
      <c r="BV236">
        <v>1169</v>
      </c>
      <c r="BW236">
        <v>414</v>
      </c>
      <c r="BX236">
        <v>35</v>
      </c>
      <c r="BY236">
        <v>491</v>
      </c>
      <c r="BZ236">
        <v>8</v>
      </c>
      <c r="CA236">
        <v>101</v>
      </c>
      <c r="CB236">
        <v>888</v>
      </c>
    </row>
    <row r="237" spans="1:80" x14ac:dyDescent="0.3">
      <c r="A237" s="1">
        <v>45139</v>
      </c>
      <c r="B237">
        <v>2023</v>
      </c>
      <c r="C237" t="s">
        <v>22</v>
      </c>
      <c r="D237">
        <v>8</v>
      </c>
      <c r="E237">
        <v>88383</v>
      </c>
      <c r="F237">
        <v>68555</v>
      </c>
      <c r="G237">
        <v>19828</v>
      </c>
      <c r="H237">
        <v>28777</v>
      </c>
      <c r="I237">
        <v>22850</v>
      </c>
      <c r="J237">
        <v>5927</v>
      </c>
      <c r="K237">
        <v>3.0594052412234198</v>
      </c>
      <c r="L237">
        <v>2.9684058494313099</v>
      </c>
      <c r="M237">
        <v>3.3</v>
      </c>
      <c r="N237">
        <v>25052</v>
      </c>
      <c r="O237">
        <v>15646</v>
      </c>
      <c r="P237">
        <v>9406</v>
      </c>
      <c r="Q237">
        <v>56699</v>
      </c>
      <c r="R237">
        <v>40145</v>
      </c>
      <c r="S237">
        <v>70.8</v>
      </c>
      <c r="T237">
        <v>152520</v>
      </c>
      <c r="U237">
        <v>86383</v>
      </c>
      <c r="V237">
        <v>57.9</v>
      </c>
      <c r="AF237">
        <v>33</v>
      </c>
      <c r="AG237">
        <v>48763</v>
      </c>
      <c r="AH237">
        <v>118885</v>
      </c>
      <c r="AI237">
        <v>37</v>
      </c>
      <c r="AJ237">
        <v>7936</v>
      </c>
      <c r="AK237">
        <v>33635</v>
      </c>
      <c r="AL237">
        <v>70</v>
      </c>
      <c r="AM237">
        <v>56699</v>
      </c>
      <c r="AN237">
        <v>152520</v>
      </c>
      <c r="AO237">
        <v>28777</v>
      </c>
      <c r="AP237">
        <v>22850</v>
      </c>
      <c r="AQ237">
        <v>5927</v>
      </c>
      <c r="AR237">
        <v>88383</v>
      </c>
      <c r="AS237">
        <v>68555</v>
      </c>
      <c r="AT237">
        <v>19828</v>
      </c>
      <c r="AU237">
        <v>6594</v>
      </c>
      <c r="AV237">
        <v>2620</v>
      </c>
      <c r="AW237">
        <v>3082</v>
      </c>
      <c r="AX237">
        <v>680</v>
      </c>
      <c r="AY237">
        <v>36</v>
      </c>
      <c r="AZ237">
        <v>47</v>
      </c>
      <c r="BA237">
        <v>40</v>
      </c>
      <c r="BB237">
        <v>2647</v>
      </c>
      <c r="BC237">
        <v>90</v>
      </c>
      <c r="BD237">
        <v>100</v>
      </c>
      <c r="BE237">
        <v>444</v>
      </c>
      <c r="BF237">
        <v>175</v>
      </c>
      <c r="BG237">
        <v>37</v>
      </c>
      <c r="BH237">
        <v>276</v>
      </c>
      <c r="BI237">
        <v>15</v>
      </c>
      <c r="BJ237">
        <v>90</v>
      </c>
      <c r="BK237">
        <v>190</v>
      </c>
      <c r="BL237">
        <v>23906</v>
      </c>
      <c r="BM237">
        <v>9136</v>
      </c>
      <c r="BN237">
        <v>7940</v>
      </c>
      <c r="BO237">
        <v>2223</v>
      </c>
      <c r="BP237">
        <v>93</v>
      </c>
      <c r="BQ237">
        <v>143</v>
      </c>
      <c r="BR237">
        <v>134</v>
      </c>
      <c r="BS237">
        <v>9709</v>
      </c>
      <c r="BT237">
        <v>241</v>
      </c>
      <c r="BU237">
        <v>350</v>
      </c>
      <c r="BV237">
        <v>1038</v>
      </c>
      <c r="BW237">
        <v>996</v>
      </c>
      <c r="BX237">
        <v>414</v>
      </c>
      <c r="BY237">
        <v>902</v>
      </c>
      <c r="BZ237">
        <v>21</v>
      </c>
      <c r="CA237">
        <v>331</v>
      </c>
      <c r="CB237">
        <v>973</v>
      </c>
    </row>
    <row r="238" spans="1:80" x14ac:dyDescent="0.3">
      <c r="A238" s="1">
        <v>45170</v>
      </c>
      <c r="B238">
        <v>2023</v>
      </c>
      <c r="C238" t="s">
        <v>23</v>
      </c>
      <c r="D238">
        <v>9</v>
      </c>
      <c r="E238">
        <v>89980</v>
      </c>
      <c r="F238">
        <v>70450</v>
      </c>
      <c r="G238">
        <v>19530</v>
      </c>
      <c r="H238">
        <v>31164</v>
      </c>
      <c r="I238">
        <v>23523</v>
      </c>
      <c r="J238">
        <v>7641</v>
      </c>
      <c r="K238">
        <v>2.9</v>
      </c>
      <c r="L238">
        <v>3.0254479008824302</v>
      </c>
      <c r="M238">
        <v>2.57323943661972</v>
      </c>
      <c r="N238">
        <v>18604</v>
      </c>
      <c r="O238">
        <v>11911</v>
      </c>
      <c r="P238">
        <v>6693</v>
      </c>
      <c r="Q238">
        <v>55260</v>
      </c>
      <c r="R238">
        <v>41221</v>
      </c>
      <c r="S238">
        <v>74.599999999999994</v>
      </c>
      <c r="T238">
        <v>149670</v>
      </c>
      <c r="U238">
        <v>89980</v>
      </c>
      <c r="V238">
        <v>60.1</v>
      </c>
      <c r="W238" t="s">
        <v>35</v>
      </c>
      <c r="X238">
        <v>3</v>
      </c>
      <c r="Z238">
        <v>3</v>
      </c>
      <c r="AB238">
        <v>275</v>
      </c>
      <c r="AD238">
        <v>275</v>
      </c>
      <c r="AF238">
        <v>33</v>
      </c>
      <c r="AG238">
        <v>47190</v>
      </c>
      <c r="AH238">
        <v>115050</v>
      </c>
      <c r="AI238">
        <v>37</v>
      </c>
      <c r="AJ238">
        <v>8070</v>
      </c>
      <c r="AK238">
        <v>34620</v>
      </c>
      <c r="AL238">
        <v>70</v>
      </c>
      <c r="AM238">
        <v>55260</v>
      </c>
      <c r="AN238">
        <v>149670</v>
      </c>
      <c r="AO238">
        <v>31164</v>
      </c>
      <c r="AP238">
        <v>23523</v>
      </c>
      <c r="AQ238">
        <v>7641</v>
      </c>
      <c r="AR238">
        <v>89980</v>
      </c>
      <c r="AS238">
        <v>70450</v>
      </c>
      <c r="AT238">
        <v>19530</v>
      </c>
      <c r="AU238">
        <v>7723</v>
      </c>
      <c r="AV238">
        <v>2358</v>
      </c>
      <c r="AW238">
        <v>2733</v>
      </c>
      <c r="AX238">
        <v>1152</v>
      </c>
      <c r="AY238">
        <v>129</v>
      </c>
      <c r="AZ238">
        <v>36</v>
      </c>
      <c r="BA238">
        <v>75</v>
      </c>
      <c r="BB238">
        <v>1971</v>
      </c>
      <c r="BC238">
        <v>120</v>
      </c>
      <c r="BD238">
        <v>133</v>
      </c>
      <c r="BE238">
        <v>688</v>
      </c>
      <c r="BF238">
        <v>281</v>
      </c>
      <c r="BG238">
        <v>136</v>
      </c>
      <c r="BH238">
        <v>401</v>
      </c>
      <c r="BI238">
        <v>24</v>
      </c>
      <c r="BJ238">
        <v>139</v>
      </c>
      <c r="BK238">
        <v>2072</v>
      </c>
      <c r="BL238">
        <v>25328</v>
      </c>
      <c r="BM238">
        <v>8164</v>
      </c>
      <c r="BN238">
        <v>9783</v>
      </c>
      <c r="BO238">
        <v>3700</v>
      </c>
      <c r="BP238">
        <v>379</v>
      </c>
      <c r="BQ238">
        <v>113</v>
      </c>
      <c r="BR238">
        <v>213</v>
      </c>
      <c r="BS238">
        <v>6045</v>
      </c>
      <c r="BT238">
        <v>268</v>
      </c>
      <c r="BU238">
        <v>439</v>
      </c>
      <c r="BV238">
        <v>1819</v>
      </c>
      <c r="BW238">
        <v>770</v>
      </c>
      <c r="BX238">
        <v>402</v>
      </c>
      <c r="BY238">
        <v>1353</v>
      </c>
      <c r="BZ238">
        <v>60</v>
      </c>
      <c r="CA238">
        <v>1277</v>
      </c>
      <c r="CB238">
        <v>2604</v>
      </c>
    </row>
    <row r="239" spans="1:80" x14ac:dyDescent="0.3">
      <c r="A239" s="1">
        <v>45200</v>
      </c>
      <c r="B239">
        <v>2023</v>
      </c>
      <c r="C239" t="s">
        <v>24</v>
      </c>
      <c r="D239">
        <v>10</v>
      </c>
      <c r="E239">
        <v>82615</v>
      </c>
      <c r="F239">
        <v>55267</v>
      </c>
      <c r="G239">
        <v>27348</v>
      </c>
      <c r="H239">
        <v>29466</v>
      </c>
      <c r="I239">
        <v>18628</v>
      </c>
      <c r="J239">
        <v>10838</v>
      </c>
      <c r="K239">
        <v>2.8</v>
      </c>
      <c r="L239">
        <v>3</v>
      </c>
      <c r="M239">
        <v>2.5</v>
      </c>
      <c r="N239">
        <v>17600</v>
      </c>
      <c r="O239">
        <v>10090</v>
      </c>
      <c r="P239">
        <v>7510</v>
      </c>
      <c r="Q239">
        <v>57815</v>
      </c>
      <c r="R239">
        <v>40056</v>
      </c>
      <c r="S239">
        <v>69.3</v>
      </c>
      <c r="T239">
        <v>156612</v>
      </c>
      <c r="U239">
        <v>82615</v>
      </c>
      <c r="V239">
        <v>52.8</v>
      </c>
      <c r="W239" t="s">
        <v>35</v>
      </c>
      <c r="X239">
        <v>17</v>
      </c>
      <c r="Y239">
        <v>5</v>
      </c>
      <c r="Z239">
        <v>11</v>
      </c>
      <c r="AA239">
        <v>1</v>
      </c>
      <c r="AB239">
        <v>2239</v>
      </c>
      <c r="AC239">
        <v>852</v>
      </c>
      <c r="AD239">
        <v>1080</v>
      </c>
      <c r="AE239">
        <v>307</v>
      </c>
      <c r="AF239">
        <v>33</v>
      </c>
      <c r="AG239">
        <v>48783</v>
      </c>
      <c r="AH239">
        <v>118637</v>
      </c>
      <c r="AI239">
        <v>43</v>
      </c>
      <c r="AJ239">
        <v>9052</v>
      </c>
      <c r="AK239">
        <v>37975</v>
      </c>
      <c r="AL239">
        <v>76</v>
      </c>
      <c r="AM239">
        <v>57835</v>
      </c>
      <c r="AN239">
        <v>156612</v>
      </c>
      <c r="AO239">
        <v>29466</v>
      </c>
      <c r="AP239">
        <v>18628</v>
      </c>
      <c r="AQ239">
        <v>10838</v>
      </c>
      <c r="AR239">
        <v>82615</v>
      </c>
      <c r="AS239">
        <v>55267</v>
      </c>
      <c r="AT239">
        <v>27348</v>
      </c>
      <c r="AU239">
        <v>4518</v>
      </c>
      <c r="AV239">
        <v>2006</v>
      </c>
      <c r="AW239">
        <v>1771</v>
      </c>
      <c r="AX239">
        <v>1193</v>
      </c>
      <c r="AY239">
        <v>55</v>
      </c>
      <c r="AZ239">
        <v>17</v>
      </c>
      <c r="BA239">
        <v>102</v>
      </c>
      <c r="BB239">
        <v>2431</v>
      </c>
      <c r="BC239">
        <v>166</v>
      </c>
      <c r="BD239">
        <v>79</v>
      </c>
      <c r="BE239">
        <v>918</v>
      </c>
      <c r="BF239">
        <v>1094</v>
      </c>
      <c r="BG239">
        <v>230</v>
      </c>
      <c r="BH239">
        <v>747</v>
      </c>
      <c r="BI239">
        <v>222</v>
      </c>
      <c r="BJ239">
        <v>484</v>
      </c>
      <c r="BK239">
        <v>676</v>
      </c>
      <c r="BL239">
        <v>16437</v>
      </c>
      <c r="BM239">
        <v>6926</v>
      </c>
      <c r="BN239">
        <v>5847</v>
      </c>
      <c r="BO239">
        <v>3693</v>
      </c>
      <c r="BP239">
        <v>162</v>
      </c>
      <c r="BQ239">
        <v>46</v>
      </c>
      <c r="BR239">
        <v>387</v>
      </c>
      <c r="BS239">
        <v>8369</v>
      </c>
      <c r="BT239">
        <v>368</v>
      </c>
      <c r="BU239">
        <v>209</v>
      </c>
      <c r="BV239">
        <v>2328</v>
      </c>
      <c r="BW239">
        <v>2434</v>
      </c>
      <c r="BX239">
        <v>551</v>
      </c>
      <c r="BY239">
        <v>2056</v>
      </c>
      <c r="BZ239">
        <v>566</v>
      </c>
      <c r="CA239">
        <v>1357</v>
      </c>
      <c r="CB239">
        <v>1557</v>
      </c>
    </row>
    <row r="240" spans="1:80" x14ac:dyDescent="0.3">
      <c r="A240" s="1">
        <v>45231</v>
      </c>
      <c r="B240">
        <v>2023</v>
      </c>
      <c r="C240" t="s">
        <v>25</v>
      </c>
      <c r="D240">
        <v>11</v>
      </c>
      <c r="E240">
        <v>79371</v>
      </c>
      <c r="F240">
        <v>38651</v>
      </c>
      <c r="G240">
        <v>40720</v>
      </c>
      <c r="H240">
        <v>34199</v>
      </c>
      <c r="I240">
        <v>14582</v>
      </c>
      <c r="J240">
        <v>19617</v>
      </c>
      <c r="K240">
        <v>2.2999999999999998</v>
      </c>
      <c r="L240">
        <v>2.7</v>
      </c>
      <c r="M240">
        <v>2.1</v>
      </c>
      <c r="N240">
        <v>41883</v>
      </c>
      <c r="O240">
        <v>20388</v>
      </c>
      <c r="P240">
        <v>21495</v>
      </c>
      <c r="Q240">
        <v>55230</v>
      </c>
      <c r="R240">
        <v>39734</v>
      </c>
      <c r="S240">
        <v>71.900000000000006</v>
      </c>
      <c r="T240">
        <v>150300</v>
      </c>
      <c r="U240">
        <v>79371</v>
      </c>
      <c r="V240">
        <v>52.8</v>
      </c>
      <c r="W240" t="s">
        <v>35</v>
      </c>
      <c r="X240">
        <v>106</v>
      </c>
      <c r="Y240">
        <v>85</v>
      </c>
      <c r="Z240">
        <v>16</v>
      </c>
      <c r="AA240">
        <v>5</v>
      </c>
      <c r="AB240">
        <v>18386</v>
      </c>
      <c r="AC240">
        <v>14059</v>
      </c>
      <c r="AD240">
        <v>1656</v>
      </c>
      <c r="AE240">
        <v>2671</v>
      </c>
      <c r="AF240">
        <v>33</v>
      </c>
      <c r="AG240">
        <v>46380</v>
      </c>
      <c r="AH240">
        <v>113400</v>
      </c>
      <c r="AI240">
        <v>44</v>
      </c>
      <c r="AJ240">
        <v>8850</v>
      </c>
      <c r="AK240">
        <v>36900</v>
      </c>
      <c r="AL240">
        <v>77</v>
      </c>
      <c r="AM240">
        <v>55230</v>
      </c>
      <c r="AN240">
        <v>150300</v>
      </c>
      <c r="AO240">
        <v>34199</v>
      </c>
      <c r="AP240">
        <v>14582</v>
      </c>
      <c r="AQ240">
        <v>19617</v>
      </c>
      <c r="AR240">
        <v>79371</v>
      </c>
      <c r="AS240">
        <v>38651</v>
      </c>
      <c r="AT240">
        <v>40720</v>
      </c>
      <c r="AU240">
        <v>3928</v>
      </c>
      <c r="AV240">
        <v>1603</v>
      </c>
      <c r="AW240">
        <v>934</v>
      </c>
      <c r="AX240">
        <v>359</v>
      </c>
      <c r="AY240">
        <v>97</v>
      </c>
      <c r="AZ240">
        <v>30</v>
      </c>
      <c r="BA240">
        <v>11</v>
      </c>
      <c r="BB240">
        <v>1802</v>
      </c>
      <c r="BC240">
        <v>211</v>
      </c>
      <c r="BD240">
        <v>56</v>
      </c>
      <c r="BE240">
        <v>1024</v>
      </c>
      <c r="BF240">
        <v>2522</v>
      </c>
      <c r="BG240">
        <v>1067</v>
      </c>
      <c r="BH240">
        <v>1676</v>
      </c>
      <c r="BI240">
        <v>1015</v>
      </c>
      <c r="BJ240">
        <v>1359</v>
      </c>
      <c r="BK240">
        <v>1207</v>
      </c>
      <c r="BL240">
        <v>11607</v>
      </c>
      <c r="BM240">
        <v>4580</v>
      </c>
      <c r="BN240">
        <v>2675</v>
      </c>
      <c r="BO240">
        <v>1395</v>
      </c>
      <c r="BP240">
        <v>259</v>
      </c>
      <c r="BQ240">
        <v>104</v>
      </c>
      <c r="BR240">
        <v>22</v>
      </c>
      <c r="BS240">
        <v>5116</v>
      </c>
      <c r="BT240">
        <v>420</v>
      </c>
      <c r="BU240">
        <v>138</v>
      </c>
      <c r="BV240">
        <v>2403</v>
      </c>
      <c r="BW240">
        <v>5028</v>
      </c>
      <c r="BX240">
        <v>2399</v>
      </c>
      <c r="BY240">
        <v>3805</v>
      </c>
      <c r="BZ240">
        <v>2085</v>
      </c>
      <c r="CA240">
        <v>3013</v>
      </c>
      <c r="CB240">
        <v>2667</v>
      </c>
    </row>
    <row r="241" spans="1:80" x14ac:dyDescent="0.3">
      <c r="A241" s="1">
        <v>45261</v>
      </c>
      <c r="B241">
        <v>2023</v>
      </c>
      <c r="C241" t="s">
        <v>26</v>
      </c>
      <c r="D241">
        <v>12</v>
      </c>
      <c r="E241">
        <v>79110</v>
      </c>
      <c r="F241">
        <v>37196</v>
      </c>
      <c r="G241">
        <v>41914</v>
      </c>
      <c r="H241">
        <v>34541</v>
      </c>
      <c r="I241">
        <v>14824</v>
      </c>
      <c r="J241">
        <v>19717</v>
      </c>
      <c r="K241">
        <v>2.2999999999999998</v>
      </c>
      <c r="L241">
        <v>2.5</v>
      </c>
      <c r="M241">
        <v>2.1</v>
      </c>
      <c r="N241">
        <v>51399</v>
      </c>
      <c r="O241">
        <v>21741</v>
      </c>
      <c r="P241">
        <v>29658</v>
      </c>
      <c r="Q241">
        <v>58159</v>
      </c>
      <c r="R241">
        <v>37092</v>
      </c>
      <c r="S241">
        <v>63.8</v>
      </c>
      <c r="T241">
        <v>157813</v>
      </c>
      <c r="U241">
        <v>79110</v>
      </c>
      <c r="V241">
        <v>50.1</v>
      </c>
      <c r="W241" t="s">
        <v>35</v>
      </c>
      <c r="X241">
        <v>140</v>
      </c>
      <c r="Y241">
        <v>118</v>
      </c>
      <c r="Z241">
        <v>16</v>
      </c>
      <c r="AA241">
        <v>6</v>
      </c>
      <c r="AB241">
        <v>33519</v>
      </c>
      <c r="AC241">
        <v>25342</v>
      </c>
      <c r="AD241">
        <v>1472</v>
      </c>
      <c r="AE241">
        <v>6705</v>
      </c>
      <c r="AF241">
        <v>31</v>
      </c>
      <c r="AG241">
        <v>48177</v>
      </c>
      <c r="AH241">
        <v>116893</v>
      </c>
      <c r="AI241">
        <v>44</v>
      </c>
      <c r="AJ241">
        <v>9982</v>
      </c>
      <c r="AK241">
        <v>40920</v>
      </c>
      <c r="AL241">
        <v>75</v>
      </c>
      <c r="AM241">
        <v>58159</v>
      </c>
      <c r="AN241">
        <v>157813</v>
      </c>
      <c r="AO241">
        <v>34541</v>
      </c>
      <c r="AP241">
        <v>14824</v>
      </c>
      <c r="AQ241">
        <v>19717</v>
      </c>
      <c r="AR241">
        <v>79110</v>
      </c>
      <c r="AS241">
        <v>37196</v>
      </c>
      <c r="AT241">
        <v>41914</v>
      </c>
      <c r="AU241">
        <v>4301</v>
      </c>
      <c r="AV241">
        <v>1345</v>
      </c>
      <c r="AW241">
        <v>1155</v>
      </c>
      <c r="AX241">
        <v>741</v>
      </c>
      <c r="AY241">
        <v>57</v>
      </c>
      <c r="AZ241">
        <v>62</v>
      </c>
      <c r="BA241">
        <v>61</v>
      </c>
      <c r="BB241">
        <v>2437</v>
      </c>
      <c r="BC241">
        <v>205</v>
      </c>
      <c r="BD241">
        <v>36</v>
      </c>
      <c r="BE241">
        <v>1270</v>
      </c>
      <c r="BF241">
        <v>4616</v>
      </c>
      <c r="BG241">
        <v>716</v>
      </c>
      <c r="BH241">
        <v>843</v>
      </c>
      <c r="BI241">
        <v>815</v>
      </c>
      <c r="BJ241">
        <v>1049</v>
      </c>
      <c r="BK241">
        <v>1104</v>
      </c>
      <c r="BL241">
        <v>11747</v>
      </c>
      <c r="BM241">
        <v>3692</v>
      </c>
      <c r="BN241">
        <v>3045</v>
      </c>
      <c r="BO241">
        <v>2220</v>
      </c>
      <c r="BP241">
        <v>177</v>
      </c>
      <c r="BQ241">
        <v>193</v>
      </c>
      <c r="BR241">
        <v>164</v>
      </c>
      <c r="BS241">
        <v>7160</v>
      </c>
      <c r="BT241">
        <v>458</v>
      </c>
      <c r="BU241">
        <v>92</v>
      </c>
      <c r="BV241">
        <v>3175</v>
      </c>
      <c r="BW241">
        <v>9356</v>
      </c>
      <c r="BX241">
        <v>1629</v>
      </c>
      <c r="BY241">
        <v>1896</v>
      </c>
      <c r="BZ241">
        <v>1592</v>
      </c>
      <c r="CA241">
        <v>2300</v>
      </c>
      <c r="CB241">
        <v>2371</v>
      </c>
    </row>
    <row r="242" spans="1:80" x14ac:dyDescent="0.3">
      <c r="A242" s="1">
        <v>45292</v>
      </c>
      <c r="B242">
        <v>2024</v>
      </c>
      <c r="C242" t="s">
        <v>15</v>
      </c>
      <c r="D242">
        <v>1</v>
      </c>
      <c r="E242">
        <v>104427</v>
      </c>
      <c r="F242">
        <v>49670</v>
      </c>
      <c r="G242">
        <v>54757</v>
      </c>
      <c r="H242">
        <v>42478</v>
      </c>
      <c r="I242">
        <v>17564</v>
      </c>
      <c r="J242">
        <v>24914</v>
      </c>
      <c r="K242">
        <v>2.5</v>
      </c>
      <c r="L242">
        <v>2.8</v>
      </c>
      <c r="M242">
        <v>2.2000000000000002</v>
      </c>
      <c r="N242">
        <v>77881</v>
      </c>
      <c r="O242">
        <v>25451</v>
      </c>
      <c r="P242">
        <v>52430</v>
      </c>
      <c r="Q242">
        <v>61627</v>
      </c>
      <c r="R242">
        <v>45741</v>
      </c>
      <c r="S242">
        <v>74.2</v>
      </c>
      <c r="T242">
        <v>171893</v>
      </c>
      <c r="U242">
        <v>104427</v>
      </c>
      <c r="V242">
        <v>60.8</v>
      </c>
      <c r="W242" t="s">
        <v>35</v>
      </c>
      <c r="X242">
        <v>130</v>
      </c>
      <c r="Y242">
        <v>106</v>
      </c>
      <c r="Z242">
        <v>16</v>
      </c>
      <c r="AA242">
        <v>8</v>
      </c>
      <c r="AB242">
        <v>42566</v>
      </c>
      <c r="AC242">
        <v>35119</v>
      </c>
      <c r="AD242">
        <v>1917</v>
      </c>
      <c r="AE242">
        <v>5530</v>
      </c>
      <c r="AF242">
        <v>38</v>
      </c>
      <c r="AG242">
        <v>52452</v>
      </c>
      <c r="AH242">
        <v>127906</v>
      </c>
      <c r="AI242">
        <v>53</v>
      </c>
      <c r="AJ242">
        <v>9175</v>
      </c>
      <c r="AK242">
        <v>43987</v>
      </c>
      <c r="AL242">
        <v>91</v>
      </c>
      <c r="AM242">
        <v>61627</v>
      </c>
      <c r="AN242">
        <v>171893</v>
      </c>
      <c r="AO242">
        <v>42478</v>
      </c>
      <c r="AP242">
        <v>17564</v>
      </c>
      <c r="AQ242">
        <v>24914</v>
      </c>
      <c r="AR242">
        <v>104427</v>
      </c>
      <c r="AS242">
        <v>49670</v>
      </c>
      <c r="AT242">
        <v>54757</v>
      </c>
      <c r="AU242">
        <v>4027</v>
      </c>
      <c r="AV242">
        <v>1669</v>
      </c>
      <c r="AW242">
        <v>1534</v>
      </c>
      <c r="AX242">
        <v>722</v>
      </c>
      <c r="AY242">
        <v>93</v>
      </c>
      <c r="AZ242">
        <v>21</v>
      </c>
      <c r="BA242">
        <v>43</v>
      </c>
      <c r="BB242">
        <v>4695</v>
      </c>
      <c r="BC242">
        <v>358</v>
      </c>
      <c r="BD242">
        <v>56</v>
      </c>
      <c r="BE242">
        <v>1137</v>
      </c>
      <c r="BF242">
        <v>4412</v>
      </c>
      <c r="BG242">
        <v>1668</v>
      </c>
      <c r="BH242">
        <v>765</v>
      </c>
      <c r="BI242">
        <v>665</v>
      </c>
      <c r="BJ242">
        <v>1222</v>
      </c>
      <c r="BK242">
        <v>2648</v>
      </c>
      <c r="BL242">
        <v>12247</v>
      </c>
      <c r="BM242">
        <v>5245</v>
      </c>
      <c r="BN242">
        <v>4189</v>
      </c>
      <c r="BO242">
        <v>2343</v>
      </c>
      <c r="BP242">
        <v>269</v>
      </c>
      <c r="BQ242">
        <v>93</v>
      </c>
      <c r="BR242">
        <v>125</v>
      </c>
      <c r="BS242">
        <v>12559</v>
      </c>
      <c r="BT242">
        <v>784</v>
      </c>
      <c r="BU242">
        <v>154</v>
      </c>
      <c r="BV242">
        <v>2908</v>
      </c>
      <c r="BW242">
        <v>8224</v>
      </c>
      <c r="BX242">
        <v>3439</v>
      </c>
      <c r="BY242">
        <v>1845</v>
      </c>
      <c r="BZ242">
        <v>1257</v>
      </c>
      <c r="CA242">
        <v>2669</v>
      </c>
      <c r="CB242">
        <v>4800</v>
      </c>
    </row>
    <row r="243" spans="1:80" x14ac:dyDescent="0.3">
      <c r="A243" s="1">
        <v>45323</v>
      </c>
      <c r="B243">
        <v>2024</v>
      </c>
      <c r="C243" t="s">
        <v>16</v>
      </c>
      <c r="D243">
        <v>2</v>
      </c>
      <c r="E243">
        <v>85567</v>
      </c>
      <c r="F243">
        <v>36570</v>
      </c>
      <c r="G243">
        <v>48997</v>
      </c>
      <c r="H243">
        <v>38064</v>
      </c>
      <c r="I243">
        <v>13503</v>
      </c>
      <c r="J243">
        <v>24561</v>
      </c>
      <c r="K243">
        <v>2.2000000000000002</v>
      </c>
      <c r="L243">
        <v>2.7</v>
      </c>
      <c r="M243">
        <v>2</v>
      </c>
      <c r="N243">
        <v>68057</v>
      </c>
      <c r="O243">
        <v>19179</v>
      </c>
      <c r="P243">
        <v>48878</v>
      </c>
      <c r="Q243">
        <v>58899</v>
      </c>
      <c r="R243">
        <v>40394</v>
      </c>
      <c r="S243">
        <v>68.599999999999994</v>
      </c>
      <c r="T243">
        <v>163183</v>
      </c>
      <c r="U243">
        <v>85567</v>
      </c>
      <c r="V243">
        <v>52.4</v>
      </c>
      <c r="W243" t="s">
        <v>35</v>
      </c>
      <c r="X243">
        <v>124</v>
      </c>
      <c r="Y243">
        <v>97</v>
      </c>
      <c r="Z243">
        <v>16</v>
      </c>
      <c r="AA243">
        <v>11</v>
      </c>
      <c r="AB243">
        <v>45785</v>
      </c>
      <c r="AC243">
        <v>30995</v>
      </c>
      <c r="AD243">
        <v>1989</v>
      </c>
      <c r="AE243">
        <v>12801</v>
      </c>
      <c r="AF243">
        <v>38</v>
      </c>
      <c r="AG243">
        <v>49300</v>
      </c>
      <c r="AH243">
        <v>120553</v>
      </c>
      <c r="AI243">
        <v>53</v>
      </c>
      <c r="AJ243">
        <v>9599</v>
      </c>
      <c r="AK243">
        <v>42630</v>
      </c>
      <c r="AL243">
        <v>91</v>
      </c>
      <c r="AM243">
        <v>58899</v>
      </c>
      <c r="AN243">
        <v>163183</v>
      </c>
      <c r="AO243">
        <v>38064</v>
      </c>
      <c r="AP243">
        <v>13503</v>
      </c>
      <c r="AQ243">
        <v>24561</v>
      </c>
      <c r="AR243">
        <v>85567</v>
      </c>
      <c r="AS243">
        <v>36570</v>
      </c>
      <c r="AT243">
        <v>48997</v>
      </c>
      <c r="AU243">
        <v>3458</v>
      </c>
      <c r="AV243">
        <v>1184</v>
      </c>
      <c r="AW243">
        <v>1093</v>
      </c>
      <c r="AX243">
        <v>535</v>
      </c>
      <c r="AY243">
        <v>102</v>
      </c>
      <c r="AZ243">
        <v>56</v>
      </c>
      <c r="BA243">
        <v>24</v>
      </c>
      <c r="BB243">
        <v>3142</v>
      </c>
      <c r="BC243">
        <v>444</v>
      </c>
      <c r="BD243">
        <v>54</v>
      </c>
      <c r="BE243">
        <v>1061</v>
      </c>
      <c r="BF243">
        <v>4396</v>
      </c>
      <c r="BG243">
        <v>1438</v>
      </c>
      <c r="BH243">
        <v>777</v>
      </c>
      <c r="BI243">
        <v>641</v>
      </c>
      <c r="BJ243">
        <v>983</v>
      </c>
      <c r="BK243">
        <v>3678</v>
      </c>
      <c r="BL243">
        <v>10351</v>
      </c>
      <c r="BM243">
        <v>3575</v>
      </c>
      <c r="BN243">
        <v>2985</v>
      </c>
      <c r="BO243">
        <v>1654</v>
      </c>
      <c r="BP243">
        <v>284</v>
      </c>
      <c r="BQ243">
        <v>177</v>
      </c>
      <c r="BR243">
        <v>76</v>
      </c>
      <c r="BS243">
        <v>7492</v>
      </c>
      <c r="BT243">
        <v>1179</v>
      </c>
      <c r="BU243">
        <v>89</v>
      </c>
      <c r="BV243">
        <v>2300</v>
      </c>
      <c r="BW243">
        <v>7719</v>
      </c>
      <c r="BX243">
        <v>3998</v>
      </c>
      <c r="BY243">
        <v>1675</v>
      </c>
      <c r="BZ243">
        <v>1827</v>
      </c>
      <c r="CA243">
        <v>1988</v>
      </c>
      <c r="CB243">
        <v>7000</v>
      </c>
    </row>
    <row r="244" spans="1:80" x14ac:dyDescent="0.3">
      <c r="A244" s="1">
        <v>45352</v>
      </c>
      <c r="B244">
        <v>2024</v>
      </c>
      <c r="C244" t="s">
        <v>17</v>
      </c>
      <c r="D244">
        <v>3</v>
      </c>
      <c r="E244">
        <v>82529</v>
      </c>
      <c r="F244">
        <v>43821</v>
      </c>
      <c r="G244">
        <v>38708</v>
      </c>
      <c r="H244">
        <v>34735</v>
      </c>
      <c r="I244">
        <v>16397</v>
      </c>
      <c r="J244">
        <v>18338</v>
      </c>
      <c r="K244">
        <v>2.4</v>
      </c>
      <c r="L244">
        <v>2.7</v>
      </c>
      <c r="M244">
        <v>2.1</v>
      </c>
      <c r="N244">
        <v>56832</v>
      </c>
      <c r="O244">
        <v>19912</v>
      </c>
      <c r="P244">
        <v>36920</v>
      </c>
      <c r="Q244">
        <v>60047</v>
      </c>
      <c r="R244">
        <v>38352</v>
      </c>
      <c r="S244">
        <v>63.9</v>
      </c>
      <c r="T244">
        <v>167648</v>
      </c>
      <c r="U244">
        <v>82529</v>
      </c>
      <c r="V244">
        <v>49.2</v>
      </c>
      <c r="W244" t="s">
        <v>35</v>
      </c>
      <c r="X244">
        <v>77</v>
      </c>
      <c r="Y244">
        <v>36</v>
      </c>
      <c r="Z244">
        <v>20</v>
      </c>
      <c r="AA244">
        <v>21</v>
      </c>
      <c r="AB244">
        <v>24761</v>
      </c>
      <c r="AC244">
        <v>5130</v>
      </c>
      <c r="AD244">
        <v>2194</v>
      </c>
      <c r="AE244">
        <v>17437</v>
      </c>
      <c r="AF244">
        <v>38</v>
      </c>
      <c r="AG244">
        <v>52049</v>
      </c>
      <c r="AH244">
        <v>127751</v>
      </c>
      <c r="AI244">
        <v>45</v>
      </c>
      <c r="AJ244">
        <v>7998</v>
      </c>
      <c r="AK244">
        <v>39897</v>
      </c>
      <c r="AL244">
        <v>83</v>
      </c>
      <c r="AM244">
        <v>60047</v>
      </c>
      <c r="AN244">
        <v>167648</v>
      </c>
      <c r="AO244">
        <v>34735</v>
      </c>
      <c r="AP244">
        <v>16397</v>
      </c>
      <c r="AQ244">
        <v>18338</v>
      </c>
      <c r="AR244">
        <v>82529</v>
      </c>
      <c r="AS244">
        <v>43821</v>
      </c>
      <c r="AT244">
        <v>38708</v>
      </c>
      <c r="AU244">
        <v>3444</v>
      </c>
      <c r="AV244">
        <v>1713</v>
      </c>
      <c r="AW244">
        <v>1156</v>
      </c>
      <c r="AX244">
        <v>417</v>
      </c>
      <c r="AY244">
        <v>132</v>
      </c>
      <c r="AZ244">
        <v>25</v>
      </c>
      <c r="BA244">
        <v>27</v>
      </c>
      <c r="BB244">
        <v>2382</v>
      </c>
      <c r="BC244">
        <v>473</v>
      </c>
      <c r="BD244">
        <v>178</v>
      </c>
      <c r="BE244">
        <v>1258</v>
      </c>
      <c r="BF244">
        <v>3268</v>
      </c>
      <c r="BG244">
        <v>605</v>
      </c>
      <c r="BH244">
        <v>989</v>
      </c>
      <c r="BI244">
        <v>791</v>
      </c>
      <c r="BJ244">
        <v>741</v>
      </c>
      <c r="BK244">
        <v>860</v>
      </c>
      <c r="BL244">
        <v>10802</v>
      </c>
      <c r="BM244">
        <v>5253</v>
      </c>
      <c r="BN244">
        <v>3928</v>
      </c>
      <c r="BO244">
        <v>1314</v>
      </c>
      <c r="BP244">
        <v>399</v>
      </c>
      <c r="BQ244">
        <v>80</v>
      </c>
      <c r="BR244">
        <v>84</v>
      </c>
      <c r="BS244">
        <v>6448</v>
      </c>
      <c r="BT244">
        <v>1092</v>
      </c>
      <c r="BU244">
        <v>534</v>
      </c>
      <c r="BV244">
        <v>2907</v>
      </c>
      <c r="BW244">
        <v>6020</v>
      </c>
      <c r="BX244">
        <v>1513</v>
      </c>
      <c r="BY244">
        <v>2315</v>
      </c>
      <c r="BZ244">
        <v>1731</v>
      </c>
      <c r="CA244">
        <v>1530</v>
      </c>
      <c r="CB244">
        <v>1792</v>
      </c>
    </row>
    <row r="245" spans="1:80" x14ac:dyDescent="0.3">
      <c r="A245" s="1">
        <v>45383</v>
      </c>
      <c r="B245">
        <v>2024</v>
      </c>
      <c r="C245" t="s">
        <v>18</v>
      </c>
      <c r="D245">
        <v>4</v>
      </c>
      <c r="E245">
        <v>56088</v>
      </c>
      <c r="F245">
        <v>35343</v>
      </c>
      <c r="G245">
        <v>20745</v>
      </c>
      <c r="H245">
        <v>21120</v>
      </c>
      <c r="I245">
        <v>11954</v>
      </c>
      <c r="J245">
        <v>9166</v>
      </c>
      <c r="K245">
        <v>2.7</v>
      </c>
      <c r="L245">
        <v>3</v>
      </c>
      <c r="M245">
        <v>2.2999999999999998</v>
      </c>
      <c r="N245">
        <v>32005</v>
      </c>
      <c r="O245">
        <v>13869</v>
      </c>
      <c r="P245">
        <v>18136</v>
      </c>
      <c r="Q245">
        <v>56294</v>
      </c>
      <c r="R245">
        <v>26816</v>
      </c>
      <c r="S245">
        <v>47.6</v>
      </c>
      <c r="T245">
        <v>158060</v>
      </c>
      <c r="U245">
        <v>56088</v>
      </c>
      <c r="V245">
        <v>35.5</v>
      </c>
      <c r="W245" t="s">
        <v>35</v>
      </c>
      <c r="X245">
        <v>5</v>
      </c>
      <c r="Z245">
        <v>2</v>
      </c>
      <c r="AA245">
        <v>3</v>
      </c>
      <c r="AB245">
        <v>5680</v>
      </c>
      <c r="AD245">
        <v>335</v>
      </c>
      <c r="AE245">
        <v>5345</v>
      </c>
      <c r="AF245">
        <v>38</v>
      </c>
      <c r="AG245">
        <v>49394</v>
      </c>
      <c r="AH245">
        <v>121400</v>
      </c>
      <c r="AI245">
        <v>44</v>
      </c>
      <c r="AJ245">
        <v>6900</v>
      </c>
      <c r="AK245">
        <v>36660</v>
      </c>
      <c r="AL245">
        <v>82</v>
      </c>
      <c r="AM245">
        <v>56294</v>
      </c>
      <c r="AN245">
        <v>158060</v>
      </c>
      <c r="AO245">
        <v>21120</v>
      </c>
      <c r="AP245">
        <v>11954</v>
      </c>
      <c r="AQ245">
        <v>9166</v>
      </c>
      <c r="AR245">
        <v>56088</v>
      </c>
      <c r="AS245">
        <v>35343</v>
      </c>
      <c r="AT245">
        <v>20745</v>
      </c>
      <c r="AU245">
        <v>3242</v>
      </c>
      <c r="AV245">
        <v>1373</v>
      </c>
      <c r="AW245">
        <v>1288</v>
      </c>
      <c r="AX245">
        <v>419</v>
      </c>
      <c r="AY245">
        <v>98</v>
      </c>
      <c r="AZ245">
        <v>45</v>
      </c>
      <c r="BA245">
        <v>28</v>
      </c>
      <c r="BB245">
        <v>1991</v>
      </c>
      <c r="BC245">
        <v>194</v>
      </c>
      <c r="BD245">
        <v>88</v>
      </c>
      <c r="BE245">
        <v>811</v>
      </c>
      <c r="BF245">
        <v>840</v>
      </c>
      <c r="BG245">
        <v>121</v>
      </c>
      <c r="BH245">
        <v>275</v>
      </c>
      <c r="BI245">
        <v>94</v>
      </c>
      <c r="BJ245">
        <v>190</v>
      </c>
      <c r="BK245">
        <v>858</v>
      </c>
      <c r="BL245">
        <v>9568</v>
      </c>
      <c r="BM245">
        <v>4197</v>
      </c>
      <c r="BN245">
        <v>4223</v>
      </c>
      <c r="BO245">
        <v>1324</v>
      </c>
      <c r="BP245">
        <v>291</v>
      </c>
      <c r="BQ245">
        <v>138</v>
      </c>
      <c r="BR245">
        <v>76</v>
      </c>
      <c r="BS245">
        <v>5862</v>
      </c>
      <c r="BT245">
        <v>499</v>
      </c>
      <c r="BU245">
        <v>258</v>
      </c>
      <c r="BV245">
        <v>2174</v>
      </c>
      <c r="BW245">
        <v>1892</v>
      </c>
      <c r="BX245">
        <v>292</v>
      </c>
      <c r="BY245">
        <v>679</v>
      </c>
      <c r="BZ245">
        <v>232</v>
      </c>
      <c r="CA245">
        <v>439</v>
      </c>
      <c r="CB245">
        <v>1686</v>
      </c>
    </row>
    <row r="246" spans="1:80" x14ac:dyDescent="0.3">
      <c r="A246" s="1">
        <v>45413</v>
      </c>
      <c r="B246">
        <v>2024</v>
      </c>
      <c r="C246" t="s">
        <v>19</v>
      </c>
      <c r="D246">
        <v>5</v>
      </c>
      <c r="E246">
        <v>30820</v>
      </c>
      <c r="F246">
        <v>18634</v>
      </c>
      <c r="G246">
        <v>12186</v>
      </c>
      <c r="H246">
        <v>9786</v>
      </c>
      <c r="I246">
        <v>5774</v>
      </c>
      <c r="J246">
        <v>4012</v>
      </c>
      <c r="K246">
        <v>3.1</v>
      </c>
      <c r="L246">
        <v>3.2</v>
      </c>
      <c r="M246">
        <v>3</v>
      </c>
      <c r="N246">
        <v>16857</v>
      </c>
      <c r="O246">
        <v>9085</v>
      </c>
      <c r="P246">
        <v>7772</v>
      </c>
      <c r="Q246">
        <v>47585</v>
      </c>
      <c r="R246">
        <v>15256</v>
      </c>
      <c r="S246">
        <v>32.1</v>
      </c>
      <c r="T246">
        <v>132711</v>
      </c>
      <c r="U246">
        <v>30820</v>
      </c>
      <c r="V246">
        <v>23.2</v>
      </c>
      <c r="AF246">
        <v>30</v>
      </c>
      <c r="AG246">
        <v>43307</v>
      </c>
      <c r="AH246">
        <v>105524</v>
      </c>
      <c r="AI246">
        <v>29</v>
      </c>
      <c r="AJ246">
        <v>4278</v>
      </c>
      <c r="AK246">
        <v>27187</v>
      </c>
      <c r="AL246">
        <v>59</v>
      </c>
      <c r="AM246">
        <v>47585</v>
      </c>
      <c r="AN246">
        <v>132711</v>
      </c>
      <c r="AO246">
        <v>9786</v>
      </c>
      <c r="AP246">
        <v>5774</v>
      </c>
      <c r="AQ246">
        <v>4012</v>
      </c>
      <c r="AR246">
        <v>30820</v>
      </c>
      <c r="AS246">
        <v>18634</v>
      </c>
      <c r="AT246">
        <v>12186</v>
      </c>
      <c r="AU246">
        <v>1459</v>
      </c>
      <c r="AV246">
        <v>952</v>
      </c>
      <c r="AW246">
        <v>454</v>
      </c>
      <c r="AX246">
        <v>191</v>
      </c>
      <c r="AY246">
        <v>56</v>
      </c>
      <c r="AZ246">
        <v>31</v>
      </c>
      <c r="BA246">
        <v>59</v>
      </c>
      <c r="BB246">
        <v>1501</v>
      </c>
      <c r="BC246">
        <v>47</v>
      </c>
      <c r="BD246">
        <v>151</v>
      </c>
      <c r="BE246">
        <v>614</v>
      </c>
      <c r="BF246">
        <v>234</v>
      </c>
      <c r="BG246">
        <v>2</v>
      </c>
      <c r="BH246">
        <v>91</v>
      </c>
      <c r="BI246">
        <v>40</v>
      </c>
      <c r="BJ246">
        <v>39</v>
      </c>
      <c r="BK246">
        <v>139</v>
      </c>
      <c r="BL246">
        <v>5461</v>
      </c>
      <c r="BM246">
        <v>3186</v>
      </c>
      <c r="BN246">
        <v>1421</v>
      </c>
      <c r="BO246">
        <v>623</v>
      </c>
      <c r="BP246">
        <v>165</v>
      </c>
      <c r="BQ246">
        <v>93</v>
      </c>
      <c r="BR246">
        <v>186</v>
      </c>
      <c r="BS246">
        <v>5390</v>
      </c>
      <c r="BT246">
        <v>115</v>
      </c>
      <c r="BU246">
        <v>470</v>
      </c>
      <c r="BV246">
        <v>1929</v>
      </c>
      <c r="BW246">
        <v>763</v>
      </c>
      <c r="BX246">
        <v>6</v>
      </c>
      <c r="BY246">
        <v>265</v>
      </c>
      <c r="BZ246">
        <v>90</v>
      </c>
      <c r="CA246">
        <v>90</v>
      </c>
      <c r="CB246">
        <v>595</v>
      </c>
    </row>
    <row r="247" spans="1:80" x14ac:dyDescent="0.3">
      <c r="A247" s="1">
        <v>45444</v>
      </c>
      <c r="B247">
        <v>2024</v>
      </c>
      <c r="C247" t="s">
        <v>20</v>
      </c>
      <c r="D247">
        <v>6</v>
      </c>
      <c r="E247">
        <v>48060</v>
      </c>
      <c r="F247">
        <v>30351</v>
      </c>
      <c r="G247">
        <v>17709</v>
      </c>
      <c r="H247">
        <v>14867</v>
      </c>
      <c r="I247">
        <v>9438</v>
      </c>
      <c r="J247">
        <v>5429</v>
      </c>
      <c r="K247">
        <v>3.2</v>
      </c>
      <c r="L247">
        <v>3.2</v>
      </c>
      <c r="M247">
        <v>3.3</v>
      </c>
      <c r="N247">
        <v>16044</v>
      </c>
      <c r="O247">
        <v>9603</v>
      </c>
      <c r="P247">
        <v>6441</v>
      </c>
      <c r="Q247">
        <v>53933</v>
      </c>
      <c r="R247">
        <v>21713</v>
      </c>
      <c r="S247">
        <v>40.299999999999997</v>
      </c>
      <c r="T247">
        <v>152050</v>
      </c>
      <c r="U247">
        <v>48060</v>
      </c>
      <c r="V247">
        <v>31.6</v>
      </c>
      <c r="AF247">
        <v>37</v>
      </c>
      <c r="AG247">
        <v>48623</v>
      </c>
      <c r="AH247">
        <v>121150</v>
      </c>
      <c r="AI247">
        <v>34</v>
      </c>
      <c r="AJ247">
        <v>5310</v>
      </c>
      <c r="AK247">
        <v>30900</v>
      </c>
      <c r="AL247">
        <v>71</v>
      </c>
      <c r="AM247">
        <v>53933</v>
      </c>
      <c r="AN247">
        <v>152050</v>
      </c>
      <c r="AO247">
        <v>14867</v>
      </c>
      <c r="AP247">
        <v>9438</v>
      </c>
      <c r="AQ247">
        <v>5429</v>
      </c>
      <c r="AR247">
        <v>48060</v>
      </c>
      <c r="AS247">
        <v>30351</v>
      </c>
      <c r="AT247">
        <v>17709</v>
      </c>
      <c r="AU247">
        <v>2383</v>
      </c>
      <c r="AV247">
        <v>1604</v>
      </c>
      <c r="AW247">
        <v>960</v>
      </c>
      <c r="AX247">
        <v>521</v>
      </c>
      <c r="AY247">
        <v>59</v>
      </c>
      <c r="AZ247">
        <v>29</v>
      </c>
      <c r="BA247">
        <v>70</v>
      </c>
      <c r="BB247">
        <v>3090</v>
      </c>
      <c r="BC247">
        <v>86</v>
      </c>
      <c r="BD247">
        <v>143</v>
      </c>
      <c r="BE247">
        <v>680</v>
      </c>
      <c r="BF247">
        <v>210</v>
      </c>
      <c r="BG247">
        <v>35</v>
      </c>
      <c r="BH247">
        <v>38</v>
      </c>
      <c r="BI247">
        <v>31</v>
      </c>
      <c r="BJ247">
        <v>39</v>
      </c>
      <c r="BK247">
        <v>57</v>
      </c>
      <c r="BL247">
        <v>8540</v>
      </c>
      <c r="BM247">
        <v>6157</v>
      </c>
      <c r="BN247">
        <v>3306</v>
      </c>
      <c r="BO247">
        <v>1731</v>
      </c>
      <c r="BP247">
        <v>175</v>
      </c>
      <c r="BQ247">
        <v>97</v>
      </c>
      <c r="BR247">
        <v>211</v>
      </c>
      <c r="BS247">
        <v>11368</v>
      </c>
      <c r="BT247">
        <v>273</v>
      </c>
      <c r="BU247">
        <v>423</v>
      </c>
      <c r="BV247">
        <v>1863</v>
      </c>
      <c r="BW247">
        <v>683</v>
      </c>
      <c r="BX247">
        <v>96</v>
      </c>
      <c r="BY247">
        <v>133</v>
      </c>
      <c r="BZ247">
        <v>96</v>
      </c>
      <c r="CA247">
        <v>107</v>
      </c>
      <c r="CB247">
        <v>162</v>
      </c>
    </row>
    <row r="248" spans="1:80" x14ac:dyDescent="0.3">
      <c r="A248" s="1">
        <v>45474</v>
      </c>
      <c r="B248">
        <v>2024</v>
      </c>
      <c r="C248" t="s">
        <v>21</v>
      </c>
      <c r="D248">
        <v>7</v>
      </c>
      <c r="E248">
        <v>87367</v>
      </c>
      <c r="F248">
        <v>50343</v>
      </c>
      <c r="G248">
        <v>37024</v>
      </c>
      <c r="H248">
        <v>23062</v>
      </c>
      <c r="I248">
        <v>13216</v>
      </c>
      <c r="J248">
        <v>9846</v>
      </c>
      <c r="K248">
        <v>3.8</v>
      </c>
      <c r="L248">
        <v>3.8</v>
      </c>
      <c r="M248">
        <v>3.8</v>
      </c>
      <c r="N248">
        <v>39431</v>
      </c>
      <c r="O248">
        <v>14066</v>
      </c>
      <c r="P248">
        <v>25365</v>
      </c>
      <c r="Q248">
        <v>61876</v>
      </c>
      <c r="R248">
        <v>35630</v>
      </c>
      <c r="S248">
        <v>57.6</v>
      </c>
      <c r="T248">
        <v>174499</v>
      </c>
      <c r="U248">
        <v>87367</v>
      </c>
      <c r="V248">
        <v>50.1</v>
      </c>
      <c r="AF248">
        <v>38</v>
      </c>
      <c r="AG248">
        <v>53103</v>
      </c>
      <c r="AH248">
        <v>131812</v>
      </c>
      <c r="AI248">
        <v>49</v>
      </c>
      <c r="AJ248">
        <v>8773</v>
      </c>
      <c r="AK248">
        <v>42687</v>
      </c>
      <c r="AL248">
        <v>87</v>
      </c>
      <c r="AM248">
        <v>61876</v>
      </c>
      <c r="AN248">
        <v>174499</v>
      </c>
      <c r="AO248">
        <v>23062</v>
      </c>
      <c r="AP248">
        <v>13216</v>
      </c>
      <c r="AQ248">
        <v>9846</v>
      </c>
      <c r="AR248">
        <v>87367</v>
      </c>
      <c r="AS248">
        <v>50343</v>
      </c>
      <c r="AT248">
        <v>37024</v>
      </c>
      <c r="AU248">
        <v>3632</v>
      </c>
      <c r="AV248">
        <v>2297</v>
      </c>
      <c r="AW248">
        <v>792</v>
      </c>
      <c r="AX248">
        <v>590</v>
      </c>
      <c r="AY248">
        <v>107</v>
      </c>
      <c r="AZ248">
        <v>88</v>
      </c>
      <c r="BA248">
        <v>61</v>
      </c>
      <c r="BB248">
        <v>6151</v>
      </c>
      <c r="BC248">
        <v>85</v>
      </c>
      <c r="BD248">
        <v>182</v>
      </c>
      <c r="BE248">
        <v>809</v>
      </c>
      <c r="BF248">
        <v>219</v>
      </c>
      <c r="BG248">
        <v>6</v>
      </c>
      <c r="BH248">
        <v>148</v>
      </c>
      <c r="BI248">
        <v>15</v>
      </c>
      <c r="BJ248">
        <v>27</v>
      </c>
      <c r="BK248">
        <v>87</v>
      </c>
      <c r="BL248">
        <v>15380</v>
      </c>
      <c r="BM248">
        <v>10459</v>
      </c>
      <c r="BN248">
        <v>3161</v>
      </c>
      <c r="BO248">
        <v>2206</v>
      </c>
      <c r="BP248">
        <v>323</v>
      </c>
      <c r="BQ248">
        <v>275</v>
      </c>
      <c r="BR248">
        <v>187</v>
      </c>
      <c r="BS248">
        <v>27224</v>
      </c>
      <c r="BT248">
        <v>293</v>
      </c>
      <c r="BU248">
        <v>597</v>
      </c>
      <c r="BV248">
        <v>2881</v>
      </c>
      <c r="BW248">
        <v>650</v>
      </c>
      <c r="BX248">
        <v>30</v>
      </c>
      <c r="BY248">
        <v>580</v>
      </c>
      <c r="BZ248">
        <v>41</v>
      </c>
      <c r="CA248">
        <v>122</v>
      </c>
      <c r="CB248">
        <v>296</v>
      </c>
    </row>
    <row r="249" spans="1:80" x14ac:dyDescent="0.3">
      <c r="A249" s="1">
        <v>45505</v>
      </c>
      <c r="B249">
        <v>2024</v>
      </c>
      <c r="C249" t="s">
        <v>22</v>
      </c>
      <c r="D249">
        <v>8</v>
      </c>
      <c r="E249">
        <v>85665</v>
      </c>
      <c r="F249">
        <v>52925</v>
      </c>
      <c r="G249">
        <v>32740</v>
      </c>
      <c r="H249">
        <v>23756</v>
      </c>
      <c r="I249">
        <v>14366</v>
      </c>
      <c r="J249">
        <v>9390</v>
      </c>
      <c r="K249">
        <v>3.6</v>
      </c>
      <c r="L249">
        <v>3.7</v>
      </c>
      <c r="M249">
        <v>3.5</v>
      </c>
      <c r="N249">
        <v>25483</v>
      </c>
      <c r="O249">
        <v>12685</v>
      </c>
      <c r="P249">
        <v>12798</v>
      </c>
      <c r="Q249">
        <v>61132</v>
      </c>
      <c r="R249">
        <v>35167</v>
      </c>
      <c r="S249">
        <v>57.5</v>
      </c>
      <c r="T249">
        <v>176669</v>
      </c>
      <c r="U249">
        <v>85665</v>
      </c>
      <c r="V249">
        <v>48.5</v>
      </c>
      <c r="AF249">
        <v>38</v>
      </c>
      <c r="AG249">
        <v>53134</v>
      </c>
      <c r="AH249">
        <v>133889</v>
      </c>
      <c r="AI249">
        <v>47</v>
      </c>
      <c r="AJ249">
        <v>7998</v>
      </c>
      <c r="AK249">
        <v>42780</v>
      </c>
      <c r="AL249">
        <v>85</v>
      </c>
      <c r="AM249">
        <v>61132</v>
      </c>
      <c r="AN249">
        <v>176669</v>
      </c>
      <c r="AO249">
        <v>23756</v>
      </c>
      <c r="AP249">
        <v>14366</v>
      </c>
      <c r="AQ249">
        <v>9390</v>
      </c>
      <c r="AR249">
        <v>85665</v>
      </c>
      <c r="AS249">
        <v>52925</v>
      </c>
      <c r="AT249">
        <v>32740</v>
      </c>
      <c r="AU249">
        <v>4699</v>
      </c>
      <c r="AV249">
        <v>2113</v>
      </c>
      <c r="AW249">
        <v>1552</v>
      </c>
      <c r="AX249">
        <v>434</v>
      </c>
      <c r="AY249">
        <v>66</v>
      </c>
      <c r="AZ249">
        <v>8</v>
      </c>
      <c r="BA249">
        <v>32</v>
      </c>
      <c r="BB249">
        <v>4267</v>
      </c>
      <c r="BC249">
        <v>88</v>
      </c>
      <c r="BD249">
        <v>101</v>
      </c>
      <c r="BE249">
        <v>832</v>
      </c>
      <c r="BF249">
        <v>339</v>
      </c>
      <c r="BG249">
        <v>21</v>
      </c>
      <c r="BH249">
        <v>302</v>
      </c>
      <c r="BI249">
        <v>25</v>
      </c>
      <c r="BJ249">
        <v>117</v>
      </c>
      <c r="BK249">
        <v>51</v>
      </c>
      <c r="BL249">
        <v>18180</v>
      </c>
      <c r="BM249">
        <v>9438</v>
      </c>
      <c r="BN249">
        <v>6308</v>
      </c>
      <c r="BO249">
        <v>1895</v>
      </c>
      <c r="BP249">
        <v>187</v>
      </c>
      <c r="BQ249">
        <v>33</v>
      </c>
      <c r="BR249">
        <v>96</v>
      </c>
      <c r="BS249">
        <v>18211</v>
      </c>
      <c r="BT249">
        <v>242</v>
      </c>
      <c r="BU249">
        <v>319</v>
      </c>
      <c r="BV249">
        <v>2629</v>
      </c>
      <c r="BW249">
        <v>1082</v>
      </c>
      <c r="BX249">
        <v>208</v>
      </c>
      <c r="BY249">
        <v>977</v>
      </c>
      <c r="BZ249">
        <v>95</v>
      </c>
      <c r="CA249">
        <v>346</v>
      </c>
      <c r="CB249">
        <v>189</v>
      </c>
    </row>
    <row r="250" spans="1:80" x14ac:dyDescent="0.3">
      <c r="A250" s="1">
        <v>45536</v>
      </c>
      <c r="B250">
        <v>2024</v>
      </c>
      <c r="C250" t="s">
        <v>23</v>
      </c>
      <c r="D250">
        <v>9</v>
      </c>
      <c r="E250">
        <v>87242</v>
      </c>
      <c r="F250">
        <v>62596</v>
      </c>
      <c r="G250">
        <v>24646</v>
      </c>
      <c r="H250">
        <v>24209</v>
      </c>
      <c r="I250">
        <v>16969</v>
      </c>
      <c r="J250">
        <v>7240</v>
      </c>
      <c r="K250">
        <v>3.6</v>
      </c>
      <c r="L250">
        <v>3.7</v>
      </c>
      <c r="M250">
        <v>3.4</v>
      </c>
      <c r="N250">
        <v>27913</v>
      </c>
      <c r="O250">
        <v>16642</v>
      </c>
      <c r="P250">
        <v>11271</v>
      </c>
      <c r="Q250">
        <v>61110</v>
      </c>
      <c r="R250">
        <v>37364</v>
      </c>
      <c r="S250">
        <v>61.1</v>
      </c>
      <c r="T250">
        <v>169650</v>
      </c>
      <c r="U250">
        <v>87242</v>
      </c>
      <c r="V250">
        <v>51.4</v>
      </c>
      <c r="W250" t="s">
        <v>36</v>
      </c>
      <c r="X250">
        <v>4</v>
      </c>
      <c r="Z250">
        <v>4</v>
      </c>
      <c r="AB250">
        <v>583</v>
      </c>
      <c r="AD250">
        <v>583</v>
      </c>
      <c r="AF250">
        <v>38</v>
      </c>
      <c r="AG250">
        <v>52920</v>
      </c>
      <c r="AH250">
        <v>130620</v>
      </c>
      <c r="AI250">
        <v>44</v>
      </c>
      <c r="AJ250">
        <v>8190</v>
      </c>
      <c r="AK250">
        <v>39030</v>
      </c>
      <c r="AL250">
        <v>82</v>
      </c>
      <c r="AM250">
        <v>61110</v>
      </c>
      <c r="AN250">
        <v>169650</v>
      </c>
      <c r="AO250">
        <v>24209</v>
      </c>
      <c r="AP250">
        <v>16969</v>
      </c>
      <c r="AQ250">
        <v>7240</v>
      </c>
      <c r="AR250">
        <v>87242</v>
      </c>
      <c r="AS250">
        <v>62596</v>
      </c>
      <c r="AT250">
        <v>24646</v>
      </c>
      <c r="AU250">
        <v>6726</v>
      </c>
      <c r="AV250">
        <v>2170</v>
      </c>
      <c r="AW250">
        <v>1723</v>
      </c>
      <c r="AX250">
        <v>646</v>
      </c>
      <c r="AY250">
        <v>124</v>
      </c>
      <c r="AZ250">
        <v>51</v>
      </c>
      <c r="BA250">
        <v>37</v>
      </c>
      <c r="BB250">
        <v>2599</v>
      </c>
      <c r="BC250">
        <v>141</v>
      </c>
      <c r="BD250">
        <v>171</v>
      </c>
      <c r="BE250">
        <v>1165</v>
      </c>
      <c r="BF250">
        <v>335</v>
      </c>
      <c r="BG250">
        <v>46</v>
      </c>
      <c r="BH250">
        <v>314</v>
      </c>
      <c r="BI250">
        <v>16</v>
      </c>
      <c r="BJ250">
        <v>159</v>
      </c>
      <c r="BK250">
        <v>54</v>
      </c>
      <c r="BL250">
        <v>24779</v>
      </c>
      <c r="BM250">
        <v>9714</v>
      </c>
      <c r="BN250">
        <v>6936</v>
      </c>
      <c r="BO250">
        <v>2145</v>
      </c>
      <c r="BP250">
        <v>389</v>
      </c>
      <c r="BQ250">
        <v>158</v>
      </c>
      <c r="BR250">
        <v>153</v>
      </c>
      <c r="BS250">
        <v>10147</v>
      </c>
      <c r="BT250">
        <v>465</v>
      </c>
      <c r="BU250">
        <v>546</v>
      </c>
      <c r="BV250">
        <v>3259</v>
      </c>
      <c r="BW250">
        <v>926</v>
      </c>
      <c r="BX250">
        <v>140</v>
      </c>
      <c r="BY250">
        <v>1373</v>
      </c>
      <c r="BZ250">
        <v>40</v>
      </c>
      <c r="CA250">
        <v>2167</v>
      </c>
      <c r="CB250">
        <v>208</v>
      </c>
    </row>
    <row r="251" spans="1:80" x14ac:dyDescent="0.3">
      <c r="A251" s="1">
        <v>45566</v>
      </c>
      <c r="B251">
        <v>2024</v>
      </c>
      <c r="C251" t="s">
        <v>24</v>
      </c>
      <c r="D251">
        <v>10</v>
      </c>
      <c r="E251">
        <v>67947</v>
      </c>
      <c r="F251">
        <v>39165</v>
      </c>
      <c r="G251">
        <v>28782</v>
      </c>
      <c r="H251">
        <v>25068</v>
      </c>
      <c r="I251">
        <v>13015</v>
      </c>
      <c r="J251">
        <v>12053</v>
      </c>
      <c r="K251">
        <v>2.7</v>
      </c>
      <c r="L251">
        <v>3</v>
      </c>
      <c r="M251">
        <v>2.4</v>
      </c>
      <c r="N251">
        <v>38050</v>
      </c>
      <c r="O251">
        <v>21357</v>
      </c>
      <c r="P251">
        <v>16693</v>
      </c>
      <c r="Q251">
        <v>61411</v>
      </c>
      <c r="R251">
        <v>31233</v>
      </c>
      <c r="S251">
        <v>50.9</v>
      </c>
      <c r="T251">
        <v>175119</v>
      </c>
      <c r="U251">
        <v>67947</v>
      </c>
      <c r="V251">
        <v>38.799999999999997</v>
      </c>
      <c r="W251" t="s">
        <v>36</v>
      </c>
      <c r="X251">
        <v>24</v>
      </c>
      <c r="Y251">
        <v>11</v>
      </c>
      <c r="Z251">
        <v>13</v>
      </c>
      <c r="AB251">
        <v>2764</v>
      </c>
      <c r="AC251">
        <v>1231</v>
      </c>
      <c r="AD251">
        <v>1533</v>
      </c>
      <c r="AF251">
        <v>38</v>
      </c>
      <c r="AG251">
        <v>53041</v>
      </c>
      <c r="AH251">
        <v>133207</v>
      </c>
      <c r="AI251">
        <v>49</v>
      </c>
      <c r="AJ251">
        <v>8370</v>
      </c>
      <c r="AK251">
        <v>41912</v>
      </c>
      <c r="AL251">
        <v>87</v>
      </c>
      <c r="AM251">
        <v>61411</v>
      </c>
      <c r="AN251">
        <v>175119</v>
      </c>
      <c r="AO251">
        <v>25068</v>
      </c>
      <c r="AP251">
        <v>13015</v>
      </c>
      <c r="AQ251">
        <v>12053</v>
      </c>
      <c r="AR251">
        <v>67947</v>
      </c>
      <c r="AS251">
        <v>39165</v>
      </c>
      <c r="AT251">
        <v>28782</v>
      </c>
      <c r="AU251">
        <v>3687</v>
      </c>
      <c r="AV251">
        <v>1763</v>
      </c>
      <c r="AW251">
        <v>1166</v>
      </c>
      <c r="AX251">
        <v>311</v>
      </c>
      <c r="AY251">
        <v>98</v>
      </c>
      <c r="AZ251">
        <v>67</v>
      </c>
      <c r="BA251">
        <v>60</v>
      </c>
      <c r="BB251">
        <v>2367</v>
      </c>
      <c r="BC251">
        <v>161</v>
      </c>
      <c r="BD251">
        <v>119</v>
      </c>
      <c r="BE251">
        <v>1615</v>
      </c>
      <c r="BF251">
        <v>1806</v>
      </c>
      <c r="BG251">
        <v>434</v>
      </c>
      <c r="BH251">
        <v>834</v>
      </c>
      <c r="BI251">
        <v>172</v>
      </c>
      <c r="BJ251">
        <v>555</v>
      </c>
      <c r="BK251">
        <v>212</v>
      </c>
      <c r="BL251">
        <v>12641</v>
      </c>
      <c r="BM251">
        <v>6422</v>
      </c>
      <c r="BN251">
        <v>3834</v>
      </c>
      <c r="BO251">
        <v>925</v>
      </c>
      <c r="BP251">
        <v>290</v>
      </c>
      <c r="BQ251">
        <v>204</v>
      </c>
      <c r="BR251">
        <v>135</v>
      </c>
      <c r="BS251">
        <v>7237</v>
      </c>
      <c r="BT251">
        <v>405</v>
      </c>
      <c r="BU251">
        <v>340</v>
      </c>
      <c r="BV251">
        <v>4109</v>
      </c>
      <c r="BW251">
        <v>3621</v>
      </c>
      <c r="BX251">
        <v>1260</v>
      </c>
      <c r="BY251">
        <v>1936</v>
      </c>
      <c r="BZ251">
        <v>417</v>
      </c>
      <c r="CA251">
        <v>1284</v>
      </c>
      <c r="CB251">
        <v>534</v>
      </c>
    </row>
    <row r="252" spans="1:80" x14ac:dyDescent="0.3">
      <c r="A252" s="1">
        <v>45597</v>
      </c>
      <c r="B252">
        <v>2024</v>
      </c>
      <c r="C252" t="s">
        <v>25</v>
      </c>
      <c r="D252">
        <v>11</v>
      </c>
      <c r="E252">
        <v>78609</v>
      </c>
      <c r="F252">
        <v>35211</v>
      </c>
      <c r="G252">
        <v>43398</v>
      </c>
      <c r="H252">
        <v>33696</v>
      </c>
      <c r="I252">
        <v>13243</v>
      </c>
      <c r="J252">
        <v>20453</v>
      </c>
      <c r="K252">
        <v>2.2999999999999998</v>
      </c>
      <c r="L252">
        <v>2.7</v>
      </c>
      <c r="M252">
        <v>2.1</v>
      </c>
      <c r="N252">
        <v>46647</v>
      </c>
      <c r="O252">
        <v>16463</v>
      </c>
      <c r="P252">
        <v>30184</v>
      </c>
      <c r="Q252">
        <v>59850</v>
      </c>
      <c r="R252">
        <v>38022</v>
      </c>
      <c r="S252">
        <v>63.5</v>
      </c>
      <c r="T252">
        <v>168630</v>
      </c>
      <c r="U252">
        <v>78609</v>
      </c>
      <c r="V252">
        <v>46.6</v>
      </c>
      <c r="W252" t="s">
        <v>36</v>
      </c>
      <c r="X252">
        <v>102</v>
      </c>
      <c r="Y252">
        <v>78</v>
      </c>
      <c r="Z252">
        <v>17</v>
      </c>
      <c r="AA252">
        <v>7</v>
      </c>
      <c r="AB252">
        <v>18621</v>
      </c>
      <c r="AC252">
        <v>12934</v>
      </c>
      <c r="AD252">
        <v>2086</v>
      </c>
      <c r="AE252">
        <v>3601</v>
      </c>
      <c r="AF252">
        <v>38</v>
      </c>
      <c r="AG252">
        <v>51510</v>
      </c>
      <c r="AH252">
        <v>128430</v>
      </c>
      <c r="AI252">
        <v>49</v>
      </c>
      <c r="AJ252">
        <v>8340</v>
      </c>
      <c r="AK252">
        <v>40200</v>
      </c>
      <c r="AL252">
        <v>87</v>
      </c>
      <c r="AM252">
        <v>59850</v>
      </c>
      <c r="AN252">
        <v>168630</v>
      </c>
      <c r="AO252">
        <v>33696</v>
      </c>
      <c r="AP252">
        <v>13243</v>
      </c>
      <c r="AQ252">
        <v>20453</v>
      </c>
      <c r="AR252">
        <v>78609</v>
      </c>
      <c r="AS252">
        <v>35211</v>
      </c>
      <c r="AT252">
        <v>43398</v>
      </c>
      <c r="AU252">
        <v>2982</v>
      </c>
      <c r="AV252">
        <v>1600</v>
      </c>
      <c r="AW252">
        <v>1376</v>
      </c>
      <c r="AX252">
        <v>316</v>
      </c>
      <c r="AY252">
        <v>108</v>
      </c>
      <c r="AZ252">
        <v>41</v>
      </c>
      <c r="BA252">
        <v>28</v>
      </c>
      <c r="BB252">
        <v>1781</v>
      </c>
      <c r="BC252">
        <v>189</v>
      </c>
      <c r="BD252">
        <v>78</v>
      </c>
      <c r="BE252">
        <v>1401</v>
      </c>
      <c r="BF252">
        <v>3771</v>
      </c>
      <c r="BG252">
        <v>1398</v>
      </c>
      <c r="BH252">
        <v>1728</v>
      </c>
      <c r="BI252">
        <v>688</v>
      </c>
      <c r="BJ252">
        <v>1291</v>
      </c>
      <c r="BK252">
        <v>1288</v>
      </c>
      <c r="BL252">
        <v>8847</v>
      </c>
      <c r="BM252">
        <v>5335</v>
      </c>
      <c r="BN252">
        <v>3826</v>
      </c>
      <c r="BO252">
        <v>921</v>
      </c>
      <c r="BP252">
        <v>368</v>
      </c>
      <c r="BQ252">
        <v>125</v>
      </c>
      <c r="BR252">
        <v>89</v>
      </c>
      <c r="BS252">
        <v>5646</v>
      </c>
      <c r="BT252">
        <v>438</v>
      </c>
      <c r="BU252">
        <v>225</v>
      </c>
      <c r="BV252">
        <v>3555</v>
      </c>
      <c r="BW252">
        <v>7407</v>
      </c>
      <c r="BX252">
        <v>3117</v>
      </c>
      <c r="BY252">
        <v>3749</v>
      </c>
      <c r="BZ252">
        <v>1439</v>
      </c>
      <c r="CA252">
        <v>2703</v>
      </c>
      <c r="CB252">
        <v>2291</v>
      </c>
    </row>
    <row r="253" spans="1:80" x14ac:dyDescent="0.3">
      <c r="A253" s="1">
        <v>45627</v>
      </c>
      <c r="B253">
        <v>2024</v>
      </c>
      <c r="C253" t="s">
        <v>26</v>
      </c>
      <c r="D253">
        <v>12</v>
      </c>
      <c r="E253">
        <v>79764</v>
      </c>
      <c r="F253">
        <v>34237</v>
      </c>
      <c r="G253">
        <v>45527</v>
      </c>
      <c r="H253">
        <v>32874</v>
      </c>
      <c r="I253">
        <v>11978</v>
      </c>
      <c r="J253">
        <v>20896</v>
      </c>
      <c r="K253">
        <v>2.4</v>
      </c>
      <c r="L253">
        <v>2.9</v>
      </c>
      <c r="M253">
        <v>2.2000000000000002</v>
      </c>
      <c r="N253">
        <v>49002</v>
      </c>
      <c r="O253">
        <v>13658</v>
      </c>
      <c r="P253">
        <v>35344</v>
      </c>
      <c r="Q253">
        <v>62000</v>
      </c>
      <c r="R253">
        <v>36356</v>
      </c>
      <c r="S253">
        <v>58.6</v>
      </c>
      <c r="T253">
        <v>172907</v>
      </c>
      <c r="U253">
        <v>79764</v>
      </c>
      <c r="V253">
        <v>46.1</v>
      </c>
      <c r="W253" t="s">
        <v>36</v>
      </c>
      <c r="X253">
        <v>119</v>
      </c>
      <c r="Y253">
        <v>98</v>
      </c>
      <c r="Z253">
        <v>16</v>
      </c>
      <c r="AA253">
        <v>5</v>
      </c>
      <c r="AB253">
        <v>35185</v>
      </c>
      <c r="AC253">
        <v>26318</v>
      </c>
      <c r="AD253">
        <v>1607</v>
      </c>
      <c r="AE253">
        <v>7260</v>
      </c>
      <c r="AF253">
        <v>38</v>
      </c>
      <c r="AG253">
        <v>53413</v>
      </c>
      <c r="AH253">
        <v>132649</v>
      </c>
      <c r="AI253">
        <v>49</v>
      </c>
      <c r="AJ253">
        <v>8587</v>
      </c>
      <c r="AK253">
        <v>40258</v>
      </c>
      <c r="AL253">
        <v>87</v>
      </c>
      <c r="AM253">
        <v>62000</v>
      </c>
      <c r="AN253">
        <v>172907</v>
      </c>
      <c r="AO253">
        <v>32874</v>
      </c>
      <c r="AP253">
        <v>11978</v>
      </c>
      <c r="AQ253">
        <v>20896</v>
      </c>
      <c r="AR253">
        <v>79764</v>
      </c>
      <c r="AS253">
        <v>34237</v>
      </c>
      <c r="AT253">
        <v>45527</v>
      </c>
      <c r="AU253">
        <v>3217</v>
      </c>
      <c r="AV253">
        <v>1138</v>
      </c>
      <c r="AW253">
        <v>802</v>
      </c>
      <c r="AX253">
        <v>266</v>
      </c>
      <c r="AY253">
        <v>123</v>
      </c>
      <c r="AZ253">
        <v>62</v>
      </c>
      <c r="BA253">
        <v>45</v>
      </c>
      <c r="BB253">
        <v>2680</v>
      </c>
      <c r="BC253">
        <v>148</v>
      </c>
      <c r="BD253">
        <v>42</v>
      </c>
      <c r="BE253">
        <v>1660</v>
      </c>
      <c r="BF253">
        <v>4714</v>
      </c>
      <c r="BG253">
        <v>1112</v>
      </c>
      <c r="BH253">
        <v>923</v>
      </c>
      <c r="BI253">
        <v>648</v>
      </c>
      <c r="BJ253">
        <v>825</v>
      </c>
      <c r="BK253">
        <v>707</v>
      </c>
      <c r="BL253">
        <v>10202</v>
      </c>
      <c r="BM253">
        <v>3743</v>
      </c>
      <c r="BN253">
        <v>2360</v>
      </c>
      <c r="BO253">
        <v>1084</v>
      </c>
      <c r="BP253">
        <v>363</v>
      </c>
      <c r="BQ253">
        <v>190</v>
      </c>
      <c r="BR253">
        <v>138</v>
      </c>
      <c r="BS253">
        <v>7638</v>
      </c>
      <c r="BT253">
        <v>355</v>
      </c>
      <c r="BU253">
        <v>134</v>
      </c>
      <c r="BV253">
        <v>4610</v>
      </c>
      <c r="BW253">
        <v>9762</v>
      </c>
      <c r="BX253">
        <v>2417</v>
      </c>
      <c r="BY253">
        <v>2365</v>
      </c>
      <c r="BZ253">
        <v>1323</v>
      </c>
      <c r="CA253">
        <v>1850</v>
      </c>
      <c r="CB253">
        <v>1654</v>
      </c>
    </row>
    <row r="254" spans="1:80" x14ac:dyDescent="0.3">
      <c r="A254" s="1">
        <v>45658</v>
      </c>
      <c r="B254">
        <v>2025</v>
      </c>
      <c r="C254" t="s">
        <v>15</v>
      </c>
      <c r="D254">
        <v>1</v>
      </c>
      <c r="E254">
        <v>106544</v>
      </c>
      <c r="F254">
        <v>51365</v>
      </c>
      <c r="G254">
        <v>55179</v>
      </c>
      <c r="H254">
        <v>41901</v>
      </c>
      <c r="I254">
        <v>18213</v>
      </c>
      <c r="J254">
        <v>23688</v>
      </c>
      <c r="K254">
        <v>2.5</v>
      </c>
      <c r="L254">
        <v>2.8</v>
      </c>
      <c r="M254">
        <v>2.2999999999999998</v>
      </c>
      <c r="N254">
        <v>66023</v>
      </c>
      <c r="O254">
        <v>29583</v>
      </c>
      <c r="P254">
        <v>36440</v>
      </c>
      <c r="Q254">
        <v>63302</v>
      </c>
      <c r="R254">
        <v>45955</v>
      </c>
      <c r="S254">
        <v>72.599999999999994</v>
      </c>
      <c r="T254">
        <v>174685</v>
      </c>
      <c r="U254">
        <v>106544</v>
      </c>
      <c r="V254">
        <v>60.991999999999997</v>
      </c>
      <c r="W254" t="s">
        <v>36</v>
      </c>
      <c r="X254">
        <v>118</v>
      </c>
      <c r="Y254">
        <v>97</v>
      </c>
      <c r="Z254">
        <v>16</v>
      </c>
      <c r="AA254">
        <v>5</v>
      </c>
      <c r="AB254">
        <v>37746</v>
      </c>
      <c r="AC254">
        <v>30826</v>
      </c>
      <c r="AD254">
        <v>2105</v>
      </c>
      <c r="AE254">
        <v>4815</v>
      </c>
      <c r="AF254">
        <v>38</v>
      </c>
      <c r="AG254">
        <v>53041</v>
      </c>
      <c r="AH254">
        <v>131099</v>
      </c>
      <c r="AI254">
        <v>52</v>
      </c>
      <c r="AJ254">
        <v>10261</v>
      </c>
      <c r="AK254">
        <v>43586</v>
      </c>
      <c r="AL254">
        <v>90</v>
      </c>
      <c r="AM254">
        <v>63302</v>
      </c>
      <c r="AN254">
        <v>174685</v>
      </c>
      <c r="AO254">
        <v>41901</v>
      </c>
      <c r="AP254">
        <v>18213</v>
      </c>
      <c r="AQ254">
        <v>23688</v>
      </c>
      <c r="AR254">
        <v>106544</v>
      </c>
      <c r="AS254">
        <v>51365</v>
      </c>
      <c r="AT254">
        <v>55179</v>
      </c>
      <c r="AU254">
        <v>4017</v>
      </c>
      <c r="AV254">
        <v>2221</v>
      </c>
      <c r="AW254">
        <v>1328</v>
      </c>
      <c r="AX254">
        <v>508</v>
      </c>
      <c r="AY254">
        <v>93</v>
      </c>
      <c r="AZ254">
        <v>13</v>
      </c>
      <c r="BA254">
        <v>69</v>
      </c>
      <c r="BB254">
        <v>3583</v>
      </c>
      <c r="BC254">
        <v>377</v>
      </c>
      <c r="BD254">
        <v>263</v>
      </c>
      <c r="BE254">
        <v>1917</v>
      </c>
      <c r="BF254">
        <v>3868</v>
      </c>
      <c r="BG254">
        <v>1413</v>
      </c>
      <c r="BH254">
        <v>809</v>
      </c>
      <c r="BI254">
        <v>674</v>
      </c>
      <c r="BJ254">
        <v>1050</v>
      </c>
      <c r="BK254">
        <v>966</v>
      </c>
      <c r="BL254">
        <v>13272</v>
      </c>
      <c r="BM254">
        <v>7090</v>
      </c>
      <c r="BN254">
        <v>4139</v>
      </c>
      <c r="BO254">
        <v>1595</v>
      </c>
      <c r="BP254">
        <v>322</v>
      </c>
      <c r="BQ254">
        <v>45</v>
      </c>
      <c r="BR254">
        <v>207</v>
      </c>
      <c r="BS254">
        <v>11993</v>
      </c>
      <c r="BT254">
        <v>955</v>
      </c>
      <c r="BU254">
        <v>822</v>
      </c>
      <c r="BV254">
        <v>4524</v>
      </c>
      <c r="BW254">
        <v>7415</v>
      </c>
      <c r="BX254">
        <v>3075</v>
      </c>
      <c r="BY254">
        <v>1786</v>
      </c>
      <c r="BZ254">
        <v>1336</v>
      </c>
      <c r="CA254">
        <v>2570</v>
      </c>
      <c r="CB254">
        <v>2851</v>
      </c>
    </row>
    <row r="255" spans="1:80" x14ac:dyDescent="0.3">
      <c r="A255" s="1">
        <v>45689</v>
      </c>
      <c r="B255">
        <v>2025</v>
      </c>
      <c r="C255" t="s">
        <v>16</v>
      </c>
      <c r="D255">
        <v>2</v>
      </c>
      <c r="E255">
        <v>85917</v>
      </c>
      <c r="F255">
        <v>49300</v>
      </c>
      <c r="G255">
        <v>36617</v>
      </c>
      <c r="H255">
        <v>34740</v>
      </c>
      <c r="I255">
        <v>16951</v>
      </c>
      <c r="J255">
        <v>17789</v>
      </c>
      <c r="K255">
        <v>2.4731433506044911</v>
      </c>
      <c r="L255">
        <v>2.9</v>
      </c>
      <c r="M255">
        <v>2.0584068806565861</v>
      </c>
      <c r="N255">
        <v>54138</v>
      </c>
      <c r="O255">
        <v>21186</v>
      </c>
      <c r="P255">
        <v>32952</v>
      </c>
      <c r="Q255">
        <v>58464</v>
      </c>
      <c r="R255">
        <v>39447</v>
      </c>
      <c r="S255">
        <v>67.5</v>
      </c>
      <c r="T255">
        <v>161000</v>
      </c>
      <c r="U255">
        <v>85917</v>
      </c>
      <c r="V255">
        <v>53.4</v>
      </c>
      <c r="W255" t="s">
        <v>36</v>
      </c>
      <c r="X255">
        <v>122</v>
      </c>
      <c r="Y255">
        <v>94</v>
      </c>
      <c r="Z255">
        <v>15</v>
      </c>
      <c r="AA255">
        <v>13</v>
      </c>
      <c r="AB255">
        <v>43501</v>
      </c>
      <c r="AC255">
        <v>25538</v>
      </c>
      <c r="AD255">
        <v>1901</v>
      </c>
      <c r="AE255">
        <v>16062</v>
      </c>
      <c r="AF255">
        <v>39</v>
      </c>
      <c r="AG255">
        <v>49252</v>
      </c>
      <c r="AH255">
        <v>121632</v>
      </c>
      <c r="AI255">
        <v>51</v>
      </c>
      <c r="AJ255">
        <v>9212</v>
      </c>
      <c r="AK255">
        <v>39368</v>
      </c>
      <c r="AL255">
        <v>90</v>
      </c>
      <c r="AM255">
        <v>58464</v>
      </c>
      <c r="AN255">
        <v>161000</v>
      </c>
      <c r="AO255">
        <v>34740</v>
      </c>
      <c r="AP255">
        <v>16951</v>
      </c>
      <c r="AQ255">
        <v>17789</v>
      </c>
      <c r="AR255">
        <v>85917</v>
      </c>
      <c r="AS255">
        <v>49300</v>
      </c>
      <c r="AT255">
        <v>36617</v>
      </c>
      <c r="AU255">
        <v>3568</v>
      </c>
      <c r="AV255">
        <v>1701</v>
      </c>
      <c r="AW255">
        <v>904</v>
      </c>
      <c r="AX255">
        <v>556</v>
      </c>
      <c r="AY255">
        <v>218</v>
      </c>
      <c r="AZ255">
        <v>168</v>
      </c>
      <c r="BA255">
        <v>78</v>
      </c>
      <c r="BB255">
        <v>1835</v>
      </c>
      <c r="BC255">
        <v>373</v>
      </c>
      <c r="BD255">
        <v>68</v>
      </c>
      <c r="BE255">
        <v>831</v>
      </c>
      <c r="BF255">
        <v>3568</v>
      </c>
      <c r="BG255">
        <v>1163</v>
      </c>
      <c r="BH255">
        <v>621</v>
      </c>
      <c r="BI255">
        <v>879</v>
      </c>
      <c r="BJ255">
        <v>729</v>
      </c>
      <c r="BK255">
        <v>1045</v>
      </c>
      <c r="BL255">
        <v>12025</v>
      </c>
      <c r="BM255">
        <v>5568</v>
      </c>
      <c r="BN255">
        <v>3499</v>
      </c>
      <c r="BO255">
        <v>1666</v>
      </c>
      <c r="BP255">
        <v>687</v>
      </c>
      <c r="BQ255">
        <v>359</v>
      </c>
      <c r="BR255">
        <v>240</v>
      </c>
      <c r="BS255">
        <v>5035</v>
      </c>
      <c r="BT255">
        <v>893</v>
      </c>
      <c r="BU255">
        <v>154</v>
      </c>
      <c r="BV255">
        <v>1790</v>
      </c>
      <c r="BW255">
        <v>6667</v>
      </c>
      <c r="BX255">
        <v>2661</v>
      </c>
      <c r="BY255">
        <v>1511</v>
      </c>
      <c r="BZ255">
        <v>1772</v>
      </c>
      <c r="CA255">
        <v>1650</v>
      </c>
      <c r="CB255">
        <v>1582</v>
      </c>
    </row>
    <row r="256" spans="1:80" x14ac:dyDescent="0.3">
      <c r="A256" s="1">
        <v>45717</v>
      </c>
      <c r="B256">
        <v>2025</v>
      </c>
      <c r="C256" t="s">
        <v>17</v>
      </c>
      <c r="D256">
        <v>3</v>
      </c>
      <c r="E256">
        <v>89534</v>
      </c>
      <c r="F256">
        <v>49156</v>
      </c>
      <c r="G256">
        <v>40378</v>
      </c>
      <c r="H256">
        <v>34462</v>
      </c>
      <c r="I256">
        <v>16780</v>
      </c>
      <c r="J256">
        <v>17682</v>
      </c>
      <c r="K256">
        <v>2.6118310852508149</v>
      </c>
      <c r="L256">
        <v>2.9398640928498412</v>
      </c>
      <c r="M256">
        <v>2.2547373073310899</v>
      </c>
      <c r="N256">
        <v>47514</v>
      </c>
      <c r="O256">
        <v>22573</v>
      </c>
      <c r="P256">
        <v>24941</v>
      </c>
      <c r="Q256">
        <v>61721</v>
      </c>
      <c r="R256">
        <v>40963</v>
      </c>
      <c r="S256">
        <v>66.400000000000006</v>
      </c>
      <c r="T256">
        <v>169198</v>
      </c>
      <c r="U256">
        <v>89534</v>
      </c>
      <c r="V256">
        <v>52.9</v>
      </c>
      <c r="W256" t="s">
        <v>36</v>
      </c>
      <c r="X256">
        <v>74</v>
      </c>
      <c r="Y256">
        <v>44</v>
      </c>
      <c r="Z256">
        <v>16</v>
      </c>
      <c r="AA256">
        <v>14</v>
      </c>
      <c r="AB256">
        <v>18357</v>
      </c>
      <c r="AC256">
        <v>8374</v>
      </c>
      <c r="AD256">
        <v>1769</v>
      </c>
      <c r="AE256">
        <v>8214</v>
      </c>
      <c r="AF256">
        <v>37</v>
      </c>
      <c r="AG256">
        <v>53568</v>
      </c>
      <c r="AH256">
        <v>132990</v>
      </c>
      <c r="AI256">
        <v>43</v>
      </c>
      <c r="AJ256">
        <v>8153</v>
      </c>
      <c r="AK256">
        <v>36208</v>
      </c>
      <c r="AL256">
        <v>80</v>
      </c>
      <c r="AM256">
        <v>61721</v>
      </c>
      <c r="AN256">
        <v>169198</v>
      </c>
      <c r="AO256">
        <v>34462</v>
      </c>
      <c r="AP256">
        <v>16780</v>
      </c>
      <c r="AQ256">
        <v>17682</v>
      </c>
      <c r="AR256">
        <v>89534</v>
      </c>
      <c r="AS256">
        <v>49156</v>
      </c>
      <c r="AT256">
        <v>40378</v>
      </c>
      <c r="AU256">
        <v>3954</v>
      </c>
      <c r="AV256">
        <v>1897</v>
      </c>
      <c r="AW256">
        <v>1623</v>
      </c>
      <c r="AX256">
        <v>433</v>
      </c>
      <c r="AY256">
        <v>51</v>
      </c>
      <c r="AZ256">
        <v>161</v>
      </c>
      <c r="BA256">
        <v>111</v>
      </c>
      <c r="BB256">
        <v>2219</v>
      </c>
      <c r="BC256">
        <v>235</v>
      </c>
      <c r="BD256">
        <v>109</v>
      </c>
      <c r="BE256">
        <v>1272</v>
      </c>
      <c r="BF256">
        <v>3070</v>
      </c>
      <c r="BG256">
        <v>556</v>
      </c>
      <c r="BH256">
        <v>630</v>
      </c>
      <c r="BI256">
        <v>571</v>
      </c>
      <c r="BJ256">
        <v>571</v>
      </c>
      <c r="BK256">
        <v>847</v>
      </c>
      <c r="BL256">
        <v>13430</v>
      </c>
      <c r="BM256">
        <v>5922</v>
      </c>
      <c r="BN256">
        <v>4846</v>
      </c>
      <c r="BO256">
        <v>1363</v>
      </c>
      <c r="BP256">
        <v>109</v>
      </c>
      <c r="BQ256">
        <v>491</v>
      </c>
      <c r="BR256">
        <v>336</v>
      </c>
      <c r="BS256">
        <v>6930</v>
      </c>
      <c r="BT256">
        <v>544</v>
      </c>
      <c r="BU256">
        <v>315</v>
      </c>
      <c r="BV256">
        <v>2983</v>
      </c>
      <c r="BW256">
        <v>6461</v>
      </c>
      <c r="BX256">
        <v>1271</v>
      </c>
      <c r="BY256">
        <v>1476</v>
      </c>
      <c r="BZ256">
        <v>1125</v>
      </c>
      <c r="CA256">
        <v>1329</v>
      </c>
      <c r="CB256">
        <v>1697</v>
      </c>
    </row>
    <row r="257" spans="1:80" x14ac:dyDescent="0.3">
      <c r="A257" s="1">
        <v>45748</v>
      </c>
      <c r="B257">
        <v>2025</v>
      </c>
      <c r="C257" t="s">
        <v>18</v>
      </c>
      <c r="D257">
        <v>4</v>
      </c>
      <c r="E257">
        <v>73128</v>
      </c>
      <c r="F257">
        <v>48373</v>
      </c>
      <c r="G257">
        <v>24755</v>
      </c>
      <c r="H257">
        <v>27552</v>
      </c>
      <c r="I257">
        <v>17546</v>
      </c>
      <c r="J257">
        <v>10006</v>
      </c>
      <c r="K257">
        <v>2.665710655291341</v>
      </c>
      <c r="L257">
        <v>2.7769866135004269</v>
      </c>
      <c r="M257">
        <v>2.4701701701701699</v>
      </c>
      <c r="N257">
        <v>13183</v>
      </c>
      <c r="O257">
        <v>9906</v>
      </c>
      <c r="P257">
        <v>3277</v>
      </c>
      <c r="Q257">
        <v>58886</v>
      </c>
      <c r="R257">
        <v>34713</v>
      </c>
      <c r="S257">
        <v>58.9</v>
      </c>
      <c r="T257">
        <v>156378</v>
      </c>
      <c r="U257">
        <v>73128</v>
      </c>
      <c r="V257">
        <v>46.8</v>
      </c>
      <c r="W257" t="s">
        <v>36</v>
      </c>
      <c r="X257">
        <v>2</v>
      </c>
      <c r="Z257">
        <v>2</v>
      </c>
      <c r="AB257">
        <v>325</v>
      </c>
      <c r="AD257">
        <v>325</v>
      </c>
      <c r="AF257">
        <v>39</v>
      </c>
      <c r="AG257">
        <v>51536</v>
      </c>
      <c r="AH257">
        <v>127218</v>
      </c>
      <c r="AI257">
        <v>38</v>
      </c>
      <c r="AJ257">
        <v>7350</v>
      </c>
      <c r="AK257">
        <v>29160</v>
      </c>
      <c r="AL257">
        <v>77</v>
      </c>
      <c r="AM257">
        <v>58886</v>
      </c>
      <c r="AN257">
        <v>156378</v>
      </c>
      <c r="AO257">
        <v>27552</v>
      </c>
      <c r="AP257">
        <v>17546</v>
      </c>
      <c r="AQ257">
        <v>10006</v>
      </c>
      <c r="AR257">
        <v>73128</v>
      </c>
      <c r="AS257">
        <v>48373</v>
      </c>
      <c r="AT257">
        <v>24755</v>
      </c>
      <c r="AU257">
        <v>4494</v>
      </c>
      <c r="AV257">
        <v>2201</v>
      </c>
      <c r="AW257">
        <v>1640</v>
      </c>
      <c r="AX257">
        <v>295</v>
      </c>
      <c r="AY257">
        <v>161</v>
      </c>
      <c r="AZ257">
        <v>18</v>
      </c>
      <c r="BA257">
        <v>88</v>
      </c>
      <c r="BB257">
        <v>1936</v>
      </c>
      <c r="BC257">
        <v>97</v>
      </c>
      <c r="BD257">
        <v>150</v>
      </c>
      <c r="BE257">
        <v>1267</v>
      </c>
      <c r="BF257">
        <v>981</v>
      </c>
      <c r="BG257">
        <v>115</v>
      </c>
      <c r="BH257">
        <v>390</v>
      </c>
      <c r="BI257">
        <v>546</v>
      </c>
      <c r="BJ257">
        <v>371</v>
      </c>
      <c r="BK257">
        <v>300</v>
      </c>
      <c r="BL257">
        <v>13668</v>
      </c>
      <c r="BM257">
        <v>6667</v>
      </c>
      <c r="BN257">
        <v>5151</v>
      </c>
      <c r="BO257">
        <v>897</v>
      </c>
      <c r="BP257">
        <v>434</v>
      </c>
      <c r="BQ257">
        <v>55</v>
      </c>
      <c r="BR257">
        <v>266</v>
      </c>
      <c r="BS257">
        <v>5456</v>
      </c>
      <c r="BT257">
        <v>308</v>
      </c>
      <c r="BU257">
        <v>443</v>
      </c>
      <c r="BV257">
        <v>3408</v>
      </c>
      <c r="BW257">
        <v>2225</v>
      </c>
      <c r="BX257">
        <v>318</v>
      </c>
      <c r="BY257">
        <v>933</v>
      </c>
      <c r="BZ257">
        <v>1235</v>
      </c>
      <c r="CA257">
        <v>859</v>
      </c>
      <c r="CB257">
        <v>664</v>
      </c>
    </row>
    <row r="258" spans="1:80" x14ac:dyDescent="0.3">
      <c r="A258" s="1">
        <v>45778</v>
      </c>
      <c r="B258">
        <v>2025</v>
      </c>
      <c r="C258" t="s">
        <v>19</v>
      </c>
      <c r="D258">
        <v>5</v>
      </c>
      <c r="E258">
        <v>39799</v>
      </c>
      <c r="F258">
        <v>27454</v>
      </c>
      <c r="G258">
        <v>12345</v>
      </c>
      <c r="H258">
        <v>13935</v>
      </c>
      <c r="I258">
        <v>8906</v>
      </c>
      <c r="J258">
        <v>5029</v>
      </c>
      <c r="K258">
        <v>2.9</v>
      </c>
      <c r="L258">
        <v>3.1</v>
      </c>
      <c r="M258">
        <v>2.5</v>
      </c>
      <c r="N258">
        <v>14393</v>
      </c>
      <c r="O258">
        <v>10174</v>
      </c>
      <c r="P258">
        <v>4219</v>
      </c>
      <c r="Q258">
        <v>48186</v>
      </c>
      <c r="R258">
        <v>18887</v>
      </c>
      <c r="S258">
        <v>39.200000000000003</v>
      </c>
      <c r="T258">
        <v>129191</v>
      </c>
      <c r="U258">
        <v>39799</v>
      </c>
      <c r="V258">
        <v>30.8</v>
      </c>
      <c r="AF258">
        <v>30</v>
      </c>
      <c r="AG258">
        <v>40467</v>
      </c>
      <c r="AH258">
        <v>100113</v>
      </c>
      <c r="AI258">
        <v>32</v>
      </c>
      <c r="AJ258">
        <v>7719</v>
      </c>
      <c r="AK258">
        <v>29078</v>
      </c>
      <c r="AL258">
        <v>62</v>
      </c>
      <c r="AM258">
        <v>48186</v>
      </c>
      <c r="AN258">
        <v>129191</v>
      </c>
      <c r="AO258">
        <v>13935</v>
      </c>
      <c r="AP258">
        <v>8906</v>
      </c>
      <c r="AQ258">
        <v>5029</v>
      </c>
      <c r="AR258">
        <v>39799</v>
      </c>
      <c r="AS258">
        <v>27454</v>
      </c>
      <c r="AT258">
        <v>12345</v>
      </c>
      <c r="AU258">
        <v>1945</v>
      </c>
      <c r="AV258">
        <v>1055</v>
      </c>
      <c r="AW258">
        <v>554</v>
      </c>
      <c r="AX258">
        <v>169</v>
      </c>
      <c r="AY258">
        <v>96</v>
      </c>
      <c r="AZ258">
        <v>90</v>
      </c>
      <c r="BA258">
        <v>15</v>
      </c>
      <c r="BB258">
        <v>1308</v>
      </c>
      <c r="BC258">
        <v>58</v>
      </c>
      <c r="BD258">
        <v>148</v>
      </c>
      <c r="BE258">
        <v>585</v>
      </c>
      <c r="BF258">
        <v>203</v>
      </c>
      <c r="BG258">
        <v>14</v>
      </c>
      <c r="BH258">
        <v>102</v>
      </c>
      <c r="BI258">
        <v>17</v>
      </c>
      <c r="BJ258">
        <v>29</v>
      </c>
      <c r="BK258">
        <v>92</v>
      </c>
      <c r="BL258">
        <v>7435</v>
      </c>
      <c r="BM258">
        <v>3870</v>
      </c>
      <c r="BN258">
        <v>1944</v>
      </c>
      <c r="BO258">
        <v>706</v>
      </c>
      <c r="BP258">
        <v>214</v>
      </c>
      <c r="BQ258">
        <v>285</v>
      </c>
      <c r="BR258">
        <v>61</v>
      </c>
      <c r="BS258">
        <v>4556</v>
      </c>
      <c r="BT258">
        <v>165</v>
      </c>
      <c r="BU258">
        <v>458</v>
      </c>
      <c r="BV258">
        <v>1386</v>
      </c>
      <c r="BW258">
        <v>597</v>
      </c>
      <c r="BX258">
        <v>36</v>
      </c>
      <c r="BY258">
        <v>271</v>
      </c>
      <c r="BZ258">
        <v>37</v>
      </c>
      <c r="CA258">
        <v>56</v>
      </c>
      <c r="CB258">
        <v>166</v>
      </c>
    </row>
    <row r="259" spans="1:80" x14ac:dyDescent="0.3">
      <c r="A259" s="1">
        <v>45809</v>
      </c>
      <c r="B259">
        <v>2025</v>
      </c>
      <c r="C259" t="s">
        <v>20</v>
      </c>
      <c r="D259">
        <v>6</v>
      </c>
      <c r="E259">
        <v>50604</v>
      </c>
      <c r="F259">
        <v>29765</v>
      </c>
      <c r="G259">
        <v>20839</v>
      </c>
      <c r="H259">
        <v>16150</v>
      </c>
      <c r="I259">
        <v>9610</v>
      </c>
      <c r="J259">
        <v>6540</v>
      </c>
      <c r="K259">
        <v>3.1</v>
      </c>
      <c r="L259">
        <v>3.1</v>
      </c>
      <c r="M259">
        <v>3.2</v>
      </c>
      <c r="N259">
        <v>13622</v>
      </c>
      <c r="O259">
        <v>8314</v>
      </c>
      <c r="P259">
        <v>5308</v>
      </c>
      <c r="Q259">
        <v>57390</v>
      </c>
      <c r="R259">
        <v>24126</v>
      </c>
      <c r="S259">
        <v>42</v>
      </c>
      <c r="T259">
        <v>156780</v>
      </c>
      <c r="U259">
        <v>50604</v>
      </c>
      <c r="V259">
        <v>32.299999999999997</v>
      </c>
      <c r="AF259">
        <v>37</v>
      </c>
      <c r="AG259">
        <v>49830</v>
      </c>
      <c r="AH259">
        <v>123210</v>
      </c>
      <c r="AI259">
        <v>36</v>
      </c>
      <c r="AJ259">
        <v>7560</v>
      </c>
      <c r="AK259">
        <v>33570</v>
      </c>
      <c r="AL259">
        <v>73</v>
      </c>
      <c r="AM259">
        <v>57390</v>
      </c>
      <c r="AN259">
        <v>156780</v>
      </c>
      <c r="AO259">
        <v>16150</v>
      </c>
      <c r="AP259">
        <v>9610</v>
      </c>
      <c r="AQ259">
        <v>6540</v>
      </c>
      <c r="AR259">
        <v>50604</v>
      </c>
      <c r="AS259">
        <v>29765</v>
      </c>
      <c r="AT259">
        <v>20839</v>
      </c>
      <c r="AU259">
        <v>2160</v>
      </c>
      <c r="AV259">
        <v>1349</v>
      </c>
      <c r="AW259">
        <v>584</v>
      </c>
      <c r="AX259">
        <v>154</v>
      </c>
      <c r="AY259">
        <v>37</v>
      </c>
      <c r="AZ259">
        <v>0</v>
      </c>
      <c r="BA259">
        <v>49</v>
      </c>
      <c r="BB259">
        <v>3308</v>
      </c>
      <c r="BC259">
        <v>81</v>
      </c>
      <c r="BD259">
        <v>114</v>
      </c>
      <c r="BE259">
        <v>870</v>
      </c>
      <c r="BF259">
        <v>262</v>
      </c>
      <c r="BG259">
        <v>9</v>
      </c>
      <c r="BH259">
        <v>49</v>
      </c>
      <c r="BI259">
        <v>6</v>
      </c>
      <c r="BJ259">
        <v>94</v>
      </c>
      <c r="BK259">
        <v>45</v>
      </c>
      <c r="BL259">
        <v>8328</v>
      </c>
      <c r="BM259">
        <v>5068</v>
      </c>
      <c r="BN259">
        <v>2020</v>
      </c>
      <c r="BO259">
        <v>481</v>
      </c>
      <c r="BP259">
        <v>117</v>
      </c>
      <c r="BQ259">
        <v>0</v>
      </c>
      <c r="BR259">
        <v>146</v>
      </c>
      <c r="BS259">
        <v>12017</v>
      </c>
      <c r="BT259">
        <v>266</v>
      </c>
      <c r="BU259">
        <v>381</v>
      </c>
      <c r="BV259">
        <v>2280</v>
      </c>
      <c r="BW259">
        <v>685</v>
      </c>
      <c r="BX259">
        <v>24</v>
      </c>
      <c r="BY259">
        <v>114</v>
      </c>
      <c r="BZ259">
        <v>14</v>
      </c>
      <c r="CA259">
        <v>270</v>
      </c>
      <c r="CB259">
        <v>165</v>
      </c>
    </row>
    <row r="260" spans="1:80" x14ac:dyDescent="0.3">
      <c r="A260" s="1">
        <v>45839</v>
      </c>
      <c r="B260">
        <v>2025</v>
      </c>
      <c r="C260" t="s">
        <v>21</v>
      </c>
      <c r="D260">
        <v>7</v>
      </c>
      <c r="E260">
        <v>91491</v>
      </c>
      <c r="F260">
        <v>56951</v>
      </c>
      <c r="G260">
        <v>34540</v>
      </c>
      <c r="H260">
        <v>27907</v>
      </c>
      <c r="I260">
        <v>17247</v>
      </c>
      <c r="J260">
        <v>10660</v>
      </c>
      <c r="K260">
        <v>3.3</v>
      </c>
      <c r="L260">
        <v>3.3</v>
      </c>
      <c r="M260">
        <v>3.2</v>
      </c>
      <c r="N260">
        <v>29628</v>
      </c>
      <c r="O260">
        <v>18085</v>
      </c>
      <c r="P260">
        <v>11543</v>
      </c>
      <c r="Q260">
        <v>61938</v>
      </c>
      <c r="R260">
        <v>38567</v>
      </c>
      <c r="S260">
        <v>62.3</v>
      </c>
      <c r="T260">
        <v>170438</v>
      </c>
      <c r="U260">
        <v>91491</v>
      </c>
      <c r="V260">
        <v>53.7</v>
      </c>
      <c r="AF260">
        <v>39</v>
      </c>
      <c r="AG260">
        <v>53537</v>
      </c>
      <c r="AH260">
        <v>132494</v>
      </c>
      <c r="AI260">
        <v>42</v>
      </c>
      <c r="AJ260">
        <v>8401</v>
      </c>
      <c r="AK260">
        <v>37944</v>
      </c>
      <c r="AL260">
        <v>81</v>
      </c>
      <c r="AM260">
        <v>61938</v>
      </c>
      <c r="AN260">
        <v>170438</v>
      </c>
      <c r="AO260">
        <v>27907</v>
      </c>
      <c r="AP260">
        <v>17247</v>
      </c>
      <c r="AQ260">
        <v>10660</v>
      </c>
      <c r="AR260">
        <v>91491</v>
      </c>
      <c r="AS260">
        <v>56951</v>
      </c>
      <c r="AT260">
        <v>34540</v>
      </c>
      <c r="AU260">
        <v>4593</v>
      </c>
      <c r="AV260">
        <v>2323</v>
      </c>
      <c r="AW260">
        <v>1116</v>
      </c>
      <c r="AX260">
        <v>399</v>
      </c>
      <c r="AY260">
        <v>102</v>
      </c>
      <c r="AZ260">
        <v>0</v>
      </c>
      <c r="BA260">
        <v>32</v>
      </c>
      <c r="BB260">
        <v>6059</v>
      </c>
      <c r="BC260">
        <v>173</v>
      </c>
      <c r="BD260">
        <v>283</v>
      </c>
      <c r="BE260">
        <v>1362</v>
      </c>
      <c r="BF260">
        <v>396</v>
      </c>
      <c r="BG260">
        <v>19</v>
      </c>
      <c r="BH260">
        <v>140</v>
      </c>
      <c r="BI260">
        <v>13</v>
      </c>
      <c r="BJ260">
        <v>78</v>
      </c>
      <c r="BK260">
        <v>204</v>
      </c>
      <c r="BL260">
        <v>15146</v>
      </c>
      <c r="BM260">
        <v>8777</v>
      </c>
      <c r="BN260">
        <v>4058</v>
      </c>
      <c r="BO260">
        <v>1591</v>
      </c>
      <c r="BP260">
        <v>265</v>
      </c>
      <c r="BQ260">
        <v>0</v>
      </c>
      <c r="BR260">
        <v>109</v>
      </c>
      <c r="BS260">
        <v>21715</v>
      </c>
      <c r="BT260">
        <v>539</v>
      </c>
      <c r="BU260">
        <v>915</v>
      </c>
      <c r="BV260">
        <v>3881</v>
      </c>
      <c r="BW260">
        <v>1005</v>
      </c>
      <c r="BX260">
        <v>48</v>
      </c>
      <c r="BY260">
        <v>369</v>
      </c>
      <c r="BZ260">
        <v>23</v>
      </c>
      <c r="CA260">
        <v>195</v>
      </c>
      <c r="CB260">
        <v>750</v>
      </c>
    </row>
    <row r="261" spans="1:80" x14ac:dyDescent="0.3">
      <c r="A261" s="1">
        <v>45870</v>
      </c>
      <c r="B261">
        <v>2025</v>
      </c>
      <c r="C261" t="s">
        <v>22</v>
      </c>
      <c r="D261">
        <v>8</v>
      </c>
      <c r="E261">
        <v>101829</v>
      </c>
      <c r="F261">
        <v>66343</v>
      </c>
      <c r="G261">
        <v>35486</v>
      </c>
      <c r="H261">
        <v>29693</v>
      </c>
      <c r="I261">
        <v>19040</v>
      </c>
      <c r="J261">
        <v>10653</v>
      </c>
      <c r="K261">
        <v>3.4</v>
      </c>
      <c r="L261">
        <v>3.5</v>
      </c>
      <c r="M261">
        <v>3.3</v>
      </c>
      <c r="N261">
        <v>28111</v>
      </c>
      <c r="O261">
        <v>15538</v>
      </c>
      <c r="P261">
        <v>12573</v>
      </c>
      <c r="Q261">
        <v>62620</v>
      </c>
      <c r="R261">
        <v>44754</v>
      </c>
      <c r="S261">
        <v>71.5</v>
      </c>
      <c r="T261">
        <v>172391</v>
      </c>
      <c r="U261">
        <v>101829</v>
      </c>
      <c r="V261">
        <v>59.1</v>
      </c>
      <c r="AF261">
        <v>39</v>
      </c>
      <c r="AG261">
        <v>53413</v>
      </c>
      <c r="AH261">
        <v>132122</v>
      </c>
      <c r="AI261">
        <v>48</v>
      </c>
      <c r="AJ261">
        <v>9207</v>
      </c>
      <c r="AK261">
        <v>40269</v>
      </c>
      <c r="AL261">
        <v>87</v>
      </c>
      <c r="AM261">
        <v>62620</v>
      </c>
      <c r="AN261">
        <v>172391</v>
      </c>
      <c r="AO261">
        <v>29693</v>
      </c>
      <c r="AP261">
        <v>19040</v>
      </c>
      <c r="AQ261">
        <v>10653</v>
      </c>
      <c r="AR261">
        <v>101829</v>
      </c>
      <c r="AS261">
        <v>66343</v>
      </c>
      <c r="AT261">
        <v>35486</v>
      </c>
      <c r="AU261">
        <v>4805</v>
      </c>
      <c r="AV261">
        <v>3428</v>
      </c>
      <c r="AW261">
        <v>896</v>
      </c>
      <c r="AX261">
        <v>255</v>
      </c>
      <c r="AY261">
        <v>215</v>
      </c>
      <c r="AZ261">
        <v>144</v>
      </c>
      <c r="BA261">
        <v>66</v>
      </c>
      <c r="BB261">
        <v>5034</v>
      </c>
      <c r="BC261">
        <v>116</v>
      </c>
      <c r="BD261">
        <v>140</v>
      </c>
      <c r="BE261">
        <v>1553</v>
      </c>
      <c r="BF261">
        <v>475</v>
      </c>
      <c r="BG261">
        <v>34</v>
      </c>
      <c r="BH261">
        <v>456</v>
      </c>
      <c r="BI261">
        <v>53</v>
      </c>
      <c r="BJ261">
        <v>278</v>
      </c>
      <c r="BK261">
        <v>38</v>
      </c>
      <c r="BL261">
        <v>18855</v>
      </c>
      <c r="BM261">
        <v>13255</v>
      </c>
      <c r="BN261">
        <v>3605</v>
      </c>
      <c r="BO261">
        <v>1115</v>
      </c>
      <c r="BP261">
        <v>651</v>
      </c>
      <c r="BQ261">
        <v>432</v>
      </c>
      <c r="BR261">
        <v>200</v>
      </c>
      <c r="BS261">
        <v>20220</v>
      </c>
      <c r="BT261">
        <v>406</v>
      </c>
      <c r="BU261">
        <v>515</v>
      </c>
      <c r="BV261">
        <v>4366</v>
      </c>
      <c r="BW261">
        <v>1675</v>
      </c>
      <c r="BX261">
        <v>57</v>
      </c>
      <c r="BY261">
        <v>1497</v>
      </c>
      <c r="BZ261">
        <v>204</v>
      </c>
      <c r="CA261">
        <v>718</v>
      </c>
      <c r="CB261">
        <v>115</v>
      </c>
    </row>
    <row r="262" spans="1:80" x14ac:dyDescent="0.3">
      <c r="A262" s="1">
        <v>45901</v>
      </c>
      <c r="B262">
        <v>2025</v>
      </c>
      <c r="C262" t="s">
        <v>23</v>
      </c>
      <c r="D262">
        <v>9</v>
      </c>
      <c r="E262">
        <v>92902</v>
      </c>
      <c r="F262">
        <v>57820</v>
      </c>
      <c r="G262">
        <v>35082</v>
      </c>
      <c r="H262">
        <v>28085</v>
      </c>
      <c r="I262">
        <v>16491</v>
      </c>
      <c r="J262">
        <v>11594</v>
      </c>
      <c r="K262">
        <v>3.3</v>
      </c>
      <c r="L262">
        <v>3.5</v>
      </c>
      <c r="M262">
        <v>3</v>
      </c>
      <c r="N262">
        <v>43343</v>
      </c>
      <c r="O262">
        <v>24727</v>
      </c>
      <c r="P262">
        <v>18616</v>
      </c>
      <c r="Q262">
        <v>58890</v>
      </c>
      <c r="R262">
        <v>39795</v>
      </c>
      <c r="S262">
        <v>67.599999999999994</v>
      </c>
      <c r="T262">
        <v>165810</v>
      </c>
      <c r="U262">
        <v>92902</v>
      </c>
      <c r="V262">
        <v>56</v>
      </c>
      <c r="AF262">
        <v>39</v>
      </c>
      <c r="AG262">
        <v>51840</v>
      </c>
      <c r="AH262">
        <v>128910</v>
      </c>
      <c r="AI262">
        <v>43</v>
      </c>
      <c r="AJ262">
        <v>7050</v>
      </c>
      <c r="AK262">
        <v>36900</v>
      </c>
      <c r="AL262">
        <v>82</v>
      </c>
      <c r="AM262">
        <v>58890</v>
      </c>
      <c r="AN262">
        <v>165810</v>
      </c>
      <c r="AO262">
        <v>28085</v>
      </c>
      <c r="AP262">
        <v>16491</v>
      </c>
      <c r="AQ262">
        <v>11594</v>
      </c>
      <c r="AR262">
        <v>92902</v>
      </c>
      <c r="AS262">
        <v>57820</v>
      </c>
      <c r="AT262">
        <v>35082</v>
      </c>
      <c r="AU262">
        <v>4878</v>
      </c>
      <c r="AV262">
        <v>1755</v>
      </c>
      <c r="AW262">
        <v>1068</v>
      </c>
      <c r="AX262">
        <v>282</v>
      </c>
      <c r="AY262">
        <v>58</v>
      </c>
      <c r="AZ262">
        <v>0</v>
      </c>
      <c r="BA262">
        <v>138</v>
      </c>
      <c r="BB262">
        <v>2879</v>
      </c>
      <c r="BC262">
        <v>214</v>
      </c>
      <c r="BD262">
        <v>83</v>
      </c>
      <c r="BE262">
        <v>1990</v>
      </c>
      <c r="BF262">
        <v>425</v>
      </c>
      <c r="BG262">
        <v>57</v>
      </c>
      <c r="BH262">
        <v>629</v>
      </c>
      <c r="BI262">
        <v>137</v>
      </c>
      <c r="BJ262">
        <v>213</v>
      </c>
      <c r="BK262">
        <v>159</v>
      </c>
      <c r="BL262">
        <v>20921</v>
      </c>
      <c r="BM262">
        <v>7509</v>
      </c>
      <c r="BN262">
        <v>3945</v>
      </c>
      <c r="BO262">
        <v>958</v>
      </c>
      <c r="BP262">
        <v>168</v>
      </c>
      <c r="BQ262">
        <v>0</v>
      </c>
      <c r="BR262">
        <v>412</v>
      </c>
      <c r="BS262">
        <v>10939</v>
      </c>
      <c r="BT262">
        <v>495</v>
      </c>
      <c r="BU262">
        <v>339</v>
      </c>
      <c r="BV262">
        <v>4494</v>
      </c>
      <c r="BW262">
        <v>1040</v>
      </c>
      <c r="BX262">
        <v>148</v>
      </c>
      <c r="BY262">
        <v>1763</v>
      </c>
      <c r="BZ262">
        <v>378</v>
      </c>
      <c r="CA262">
        <v>2050</v>
      </c>
      <c r="CB262">
        <v>403</v>
      </c>
    </row>
    <row r="263" spans="1:80" x14ac:dyDescent="0.3">
      <c r="A263" s="1">
        <v>45931</v>
      </c>
      <c r="B263">
        <v>2025</v>
      </c>
      <c r="C263" t="s">
        <v>24</v>
      </c>
      <c r="D263">
        <v>10</v>
      </c>
      <c r="E263">
        <v>70499</v>
      </c>
      <c r="F263">
        <v>40481</v>
      </c>
      <c r="G263">
        <v>30018</v>
      </c>
      <c r="H263">
        <v>26633</v>
      </c>
      <c r="I263">
        <v>14680</v>
      </c>
      <c r="J263">
        <v>11953</v>
      </c>
      <c r="K263">
        <v>2.6</v>
      </c>
      <c r="L263">
        <v>2.8</v>
      </c>
      <c r="M263">
        <v>2.5</v>
      </c>
      <c r="N263">
        <v>49079</v>
      </c>
      <c r="O263">
        <v>25085</v>
      </c>
      <c r="P263">
        <v>23994</v>
      </c>
      <c r="Q263">
        <v>62649</v>
      </c>
      <c r="R263">
        <v>33221</v>
      </c>
      <c r="S263">
        <v>53</v>
      </c>
      <c r="T263">
        <v>171283</v>
      </c>
      <c r="U263">
        <v>70499</v>
      </c>
      <c r="V263">
        <v>41.2</v>
      </c>
      <c r="AF263">
        <v>39</v>
      </c>
      <c r="AG263">
        <v>52835</v>
      </c>
      <c r="AH263">
        <v>133367</v>
      </c>
      <c r="AI263">
        <v>48</v>
      </c>
      <c r="AJ263">
        <v>9814</v>
      </c>
      <c r="AK263">
        <v>37916</v>
      </c>
      <c r="AL263">
        <v>87</v>
      </c>
      <c r="AM263">
        <v>62649</v>
      </c>
      <c r="AN263">
        <v>171283</v>
      </c>
      <c r="AO263">
        <v>26633</v>
      </c>
      <c r="AP263">
        <v>14680</v>
      </c>
      <c r="AQ263">
        <v>11953</v>
      </c>
      <c r="AR263">
        <v>70499</v>
      </c>
      <c r="AS263">
        <v>40481</v>
      </c>
      <c r="AT263">
        <v>30018</v>
      </c>
      <c r="AU263">
        <v>3109</v>
      </c>
      <c r="AV263">
        <v>1295</v>
      </c>
      <c r="AW263">
        <v>713</v>
      </c>
      <c r="AX263">
        <v>262</v>
      </c>
      <c r="AY263">
        <v>33</v>
      </c>
      <c r="AZ263">
        <v>3</v>
      </c>
      <c r="BA263">
        <v>109</v>
      </c>
      <c r="BB263">
        <v>1834</v>
      </c>
      <c r="BC263">
        <v>262</v>
      </c>
      <c r="BD263">
        <v>35</v>
      </c>
      <c r="BE263">
        <v>1278</v>
      </c>
      <c r="BF263">
        <v>1368</v>
      </c>
      <c r="BG263">
        <v>739</v>
      </c>
      <c r="BH263">
        <v>962</v>
      </c>
      <c r="BI263">
        <v>236</v>
      </c>
      <c r="BJ263">
        <v>591</v>
      </c>
      <c r="BK263">
        <v>191</v>
      </c>
      <c r="BL263">
        <v>11030</v>
      </c>
      <c r="BM263">
        <v>3836</v>
      </c>
      <c r="BN263">
        <v>2236</v>
      </c>
      <c r="BO263">
        <v>912</v>
      </c>
      <c r="BP263">
        <v>93</v>
      </c>
      <c r="BQ263">
        <v>14</v>
      </c>
      <c r="BR263">
        <v>345</v>
      </c>
      <c r="BS263">
        <v>5546</v>
      </c>
      <c r="BT263">
        <v>602</v>
      </c>
      <c r="BU263">
        <v>111</v>
      </c>
      <c r="BV263">
        <v>3339</v>
      </c>
      <c r="BW263">
        <v>3121</v>
      </c>
      <c r="BX263">
        <v>1528</v>
      </c>
      <c r="BY263">
        <v>2133</v>
      </c>
      <c r="BZ263">
        <v>528</v>
      </c>
      <c r="CA263">
        <v>1860</v>
      </c>
      <c r="CB263">
        <v>473</v>
      </c>
    </row>
    <row r="264" spans="1:80" x14ac:dyDescent="0.3">
      <c r="A264" s="1">
        <v>45962</v>
      </c>
      <c r="B264">
        <v>2025</v>
      </c>
      <c r="C264" t="s">
        <v>25</v>
      </c>
      <c r="D264">
        <v>11</v>
      </c>
      <c r="E264">
        <v>99087</v>
      </c>
      <c r="F264">
        <v>42727</v>
      </c>
      <c r="G264">
        <v>56360</v>
      </c>
      <c r="H264">
        <v>45653</v>
      </c>
      <c r="I264">
        <v>17169</v>
      </c>
      <c r="J264">
        <v>28484</v>
      </c>
      <c r="K264">
        <v>2.2000000000000002</v>
      </c>
      <c r="L264">
        <v>2.5</v>
      </c>
      <c r="M264">
        <v>2</v>
      </c>
      <c r="N264">
        <v>52444</v>
      </c>
      <c r="O264">
        <v>24802</v>
      </c>
      <c r="P264">
        <v>27642</v>
      </c>
      <c r="Q264">
        <v>61710</v>
      </c>
      <c r="R264">
        <v>44414</v>
      </c>
      <c r="S264">
        <v>72</v>
      </c>
      <c r="T264">
        <v>168150</v>
      </c>
      <c r="U264">
        <v>99087</v>
      </c>
      <c r="V264">
        <v>58.9</v>
      </c>
      <c r="AF264">
        <v>39</v>
      </c>
      <c r="AG264">
        <v>51540</v>
      </c>
      <c r="AH264">
        <v>128580</v>
      </c>
      <c r="AI264">
        <v>50</v>
      </c>
      <c r="AJ264">
        <v>10170</v>
      </c>
      <c r="AK264">
        <v>39570</v>
      </c>
      <c r="AL264">
        <v>89</v>
      </c>
      <c r="AM264">
        <v>61710</v>
      </c>
      <c r="AN264">
        <v>168150</v>
      </c>
      <c r="AO264">
        <v>45653</v>
      </c>
      <c r="AP264">
        <v>17169</v>
      </c>
      <c r="AQ264">
        <v>28484</v>
      </c>
      <c r="AR264">
        <v>99087</v>
      </c>
      <c r="AS264">
        <v>42727</v>
      </c>
      <c r="AT264">
        <v>56360</v>
      </c>
      <c r="AU264">
        <v>1932</v>
      </c>
      <c r="AV264">
        <v>522</v>
      </c>
      <c r="AW264">
        <v>497</v>
      </c>
      <c r="AX264">
        <v>89</v>
      </c>
      <c r="AY264">
        <v>82</v>
      </c>
      <c r="AZ264">
        <v>0</v>
      </c>
      <c r="BA264">
        <v>1</v>
      </c>
      <c r="BB264">
        <v>1266</v>
      </c>
      <c r="BC264">
        <v>304</v>
      </c>
      <c r="BD264">
        <v>43</v>
      </c>
      <c r="BE264">
        <v>1176</v>
      </c>
      <c r="BF264">
        <v>4194</v>
      </c>
      <c r="BG264">
        <v>1974</v>
      </c>
      <c r="BH264">
        <v>2247</v>
      </c>
      <c r="BI264">
        <v>836</v>
      </c>
      <c r="BJ264">
        <v>1752</v>
      </c>
      <c r="BK264">
        <v>729</v>
      </c>
      <c r="BL264">
        <v>6387</v>
      </c>
      <c r="BM264">
        <v>1940</v>
      </c>
      <c r="BN264">
        <v>1643</v>
      </c>
      <c r="BO264">
        <v>396</v>
      </c>
      <c r="BP264">
        <v>220</v>
      </c>
      <c r="BQ264">
        <v>0</v>
      </c>
      <c r="BR264">
        <v>4</v>
      </c>
      <c r="BS264">
        <v>4042</v>
      </c>
      <c r="BT264">
        <v>477</v>
      </c>
      <c r="BU264">
        <v>135</v>
      </c>
      <c r="BV264">
        <v>2849</v>
      </c>
      <c r="BW264">
        <v>7263</v>
      </c>
      <c r="BX264">
        <v>4185</v>
      </c>
      <c r="BY264">
        <v>4949</v>
      </c>
      <c r="BZ264">
        <v>1592</v>
      </c>
      <c r="CA264">
        <v>3510</v>
      </c>
      <c r="CB264">
        <v>1440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2026-05-11T19:01:33Z</dcterms:created>
  <dcterms:modified xsi:type="dcterms:W3CDTF">2026-05-26T11:42:06Z</dcterms:modified>
</cp:coreProperties>
</file>